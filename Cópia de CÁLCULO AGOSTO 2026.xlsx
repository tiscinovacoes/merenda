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 3 a 7" sheetId="1" r:id="rId4"/>
    <sheet state="visible" name=" sem 3 a 14   RURAL" sheetId="2" r:id="rId5"/>
    <sheet state="visible" name="sem 17 a 28 RURAL" sheetId="3" r:id="rId6"/>
    <sheet state="visible" name="FORNECEDORES" sheetId="4" r:id="rId7"/>
  </sheets>
  <definedNames/>
  <calcPr/>
  <extLst>
    <ext uri="GoogleSheetsCustomDataVersion2">
      <go:sheetsCustomData xmlns:go="http://customooxmlschemas.google.com/" r:id="rId8" roundtripDataChecksum="04b5xletUuNIzT5ZEHvXmt0KG7Lj1qQduGpGG0mLAAk="/>
    </ext>
  </extLst>
</workbook>
</file>

<file path=xl/sharedStrings.xml><?xml version="1.0" encoding="utf-8"?>
<sst xmlns="http://schemas.openxmlformats.org/spreadsheetml/2006/main" count="1015" uniqueCount="92">
  <si>
    <t>REGIÃO NORTE (SEGREDO)</t>
  </si>
  <si>
    <t>ALHO - KG</t>
  </si>
  <si>
    <t>CEBOLA - KG</t>
  </si>
  <si>
    <t>TOMATE - KG</t>
  </si>
  <si>
    <t>CHUCHU - KG</t>
  </si>
  <si>
    <t>REPOLHO - KG</t>
  </si>
  <si>
    <t xml:space="preserve">ABÓBORA CABOTIÃ - KG </t>
  </si>
  <si>
    <t>LARANJA - KG</t>
  </si>
  <si>
    <t>ABACAXI - KG</t>
  </si>
  <si>
    <t>MELANCIA - KG</t>
  </si>
  <si>
    <t>PONCÃ - KG</t>
  </si>
  <si>
    <t>UNIDADE</t>
  </si>
  <si>
    <t>QTD</t>
  </si>
  <si>
    <t>TOTAL ALUNOS</t>
  </si>
  <si>
    <t>PC</t>
  </si>
  <si>
    <t>F</t>
  </si>
  <si>
    <t>TOTAL KG</t>
  </si>
  <si>
    <t>FORNECEDOR</t>
  </si>
  <si>
    <t>EMEI G1 A G6</t>
  </si>
  <si>
    <t>GRB</t>
  </si>
  <si>
    <t>PONTUAL</t>
  </si>
  <si>
    <t>ESCOLA URB. G 1 A G7</t>
  </si>
  <si>
    <t>ESC.INTEGRAL URB.  (Kamé Adania )</t>
  </si>
  <si>
    <t>ENTIDADES</t>
  </si>
  <si>
    <t>TOTAL</t>
  </si>
  <si>
    <t>REGIÃO NORTE (PROSA)</t>
  </si>
  <si>
    <t>TOTAL  KG</t>
  </si>
  <si>
    <t>ESCOLA URB. G1 À G6</t>
  </si>
  <si>
    <t>ESC.INTEGRAL URB.  (Consulesa )</t>
  </si>
  <si>
    <t>REGIÃO SUL (ANHANDUÍZINHO)</t>
  </si>
  <si>
    <t>EMEI G 1 A G6</t>
  </si>
  <si>
    <t>ESC.INTEGRAL URB.  (Ana Lúcia)</t>
  </si>
  <si>
    <t>REGIÃO LESTE (BANDEIRA)</t>
  </si>
  <si>
    <t xml:space="preserve">TOTAL KG </t>
  </si>
  <si>
    <t>EMEI G1 A  G6</t>
  </si>
  <si>
    <t>ESC.INTEGRAL URB.  (Iracema)</t>
  </si>
  <si>
    <t>REGIÃO LESTE (CENTRAL)</t>
  </si>
  <si>
    <t xml:space="preserve">TOTAL  KG </t>
  </si>
  <si>
    <t>EMEI G3 E G6</t>
  </si>
  <si>
    <t>ESCOLA URB. G1 À G3</t>
  </si>
  <si>
    <t>ESC.INTEGRAL URB.  (ALcídio Pimentel)</t>
  </si>
  <si>
    <t>REGIÃO OESTE (IMBIRUSSU)</t>
  </si>
  <si>
    <t>EMEI G1 E G6</t>
  </si>
  <si>
    <t>ESCOLA INTEGRAL - (Hilda de Souza)</t>
  </si>
  <si>
    <t>ESCOLA INTEGRAL - (Ernesto Garcia)</t>
  </si>
  <si>
    <t>REGIÃO OESTE (LAGOA)</t>
  </si>
  <si>
    <t>PG</t>
  </si>
  <si>
    <t>EMEI G1 E  G6</t>
  </si>
  <si>
    <t>TOTAL GERAL</t>
  </si>
  <si>
    <t>,</t>
  </si>
  <si>
    <t xml:space="preserve">ALHO - KG </t>
  </si>
  <si>
    <t>ABÓBORA CABOTIÃ - KG</t>
  </si>
  <si>
    <t>BATATA DOCE - KG</t>
  </si>
  <si>
    <t>CENOURA - KG</t>
  </si>
  <si>
    <t xml:space="preserve">ABACAXI - KG </t>
  </si>
  <si>
    <t xml:space="preserve">MAMÃO - KG </t>
  </si>
  <si>
    <t>ESCOLA INTEGRAL RURAL (BARÃO)</t>
  </si>
  <si>
    <t>CARDOSO</t>
  </si>
  <si>
    <t>CLR</t>
  </si>
  <si>
    <t>ESCOLA INTEGRAL RURAL (AGRÍCOLA)</t>
  </si>
  <si>
    <t>ESCOLA INTEGRAL RURAL (LEOVEGILDO POLO)</t>
  </si>
  <si>
    <t>ESCOLA RURAL INTEGRAL (ORLANDINA)</t>
  </si>
  <si>
    <t>EMEI PROF. ALBERTO GUILHERME BATISTOTI</t>
  </si>
  <si>
    <t>DARTHESY NOVAES CAMINHA</t>
  </si>
  <si>
    <t>JOSÉ DO PATROCÍNIO</t>
  </si>
  <si>
    <t>ISAURO BENTO NOGUEIRA</t>
  </si>
  <si>
    <t>OITO DE DEZEMBRO - SEDE</t>
  </si>
  <si>
    <t xml:space="preserve">OITO DE DEZEMBRO EXTENSÃO - ONIRA </t>
  </si>
  <si>
    <t xml:space="preserve">TOTAL </t>
  </si>
  <si>
    <t>SEMANA -- A -- DE AGOSTO - URBANAS</t>
  </si>
  <si>
    <t>SEMANA -- A -- DE AGOSTO - RURAIS</t>
  </si>
  <si>
    <t>QUANTITATIVO GERAL PRODUTO/FORNECEDOR - DJE - PREGÃO</t>
  </si>
  <si>
    <t>CENOURA - PREGÃO</t>
  </si>
  <si>
    <t>BATATA DOCE - PREGÃO</t>
  </si>
  <si>
    <t>REPOLHO - PREGÃO</t>
  </si>
  <si>
    <t>UNIDADE - Kg</t>
  </si>
  <si>
    <t>MAÇÃ - PREGÃO</t>
  </si>
  <si>
    <t>MELÃO - PREGÃO</t>
  </si>
  <si>
    <t>QUANTITATIVO GERAL PRODUTO/FORNECEDOR - CARDOSO - PREGÃO</t>
  </si>
  <si>
    <t>SALSA - PREGÃO</t>
  </si>
  <si>
    <t>MELANCIA - PREGÃO</t>
  </si>
  <si>
    <t>COUVE MANTEIGA - PREGÃO</t>
  </si>
  <si>
    <t>UNIDADE - MÇ</t>
  </si>
  <si>
    <t>CEBOLINHA - PREGÃO</t>
  </si>
  <si>
    <t>MAMÃO FORMOSA - PREGÃO</t>
  </si>
  <si>
    <t>ALFACE - PREGÃO</t>
  </si>
  <si>
    <t>UNIDADE - PÉ</t>
  </si>
  <si>
    <t>CEBOLA - PREGÃO</t>
  </si>
  <si>
    <t>BATATA INGLESA - PREGÃO</t>
  </si>
  <si>
    <t>RÚCULA - PREGÃO</t>
  </si>
  <si>
    <t>QUANTITATIVO GERAL PRODUTO/FORNECEDOR - MC ROCHA - PREGÃO</t>
  </si>
  <si>
    <t>ALHO IN NATURA - PREGÃO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</si>
</sst>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b/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2.0"/>
      <color rgb="FFFF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b/>
      <sz val="12.0"/>
      <color theme="1"/>
      <name val="Arial"/>
    </font>
    <font>
      <b/>
      <sz val="15.0"/>
      <color rgb="FF000000"/>
      <name val="Calibri"/>
    </font>
    <font>
      <sz val="11.0"/>
      <color rgb="FF000000"/>
      <name val="Calibri"/>
    </font>
    <font>
      <b/>
      <sz val="11.0"/>
      <color rgb="FFFF0000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CCFF33"/>
        <bgColor rgb="FFCCFF33"/>
      </patternFill>
    </fill>
    <fill>
      <patternFill patternType="solid">
        <fgColor rgb="FFFCE5CD"/>
        <bgColor rgb="FFFCE5CD"/>
      </patternFill>
    </fill>
    <fill>
      <patternFill patternType="solid">
        <fgColor rgb="FFD99594"/>
        <bgColor rgb="FFD99594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2CDDC"/>
        <bgColor rgb="FF92CDDC"/>
      </patternFill>
    </fill>
    <fill>
      <patternFill patternType="solid">
        <fgColor rgb="FFCCFF99"/>
        <bgColor rgb="FFCCFF99"/>
      </patternFill>
    </fill>
    <fill>
      <patternFill patternType="solid">
        <fgColor rgb="FFA4C2F4"/>
        <bgColor rgb="FFA4C2F4"/>
      </patternFill>
    </fill>
    <fill>
      <patternFill patternType="solid">
        <fgColor rgb="FFFABF8F"/>
        <bgColor rgb="FFFABF8F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  <fill>
      <patternFill patternType="solid">
        <fgColor rgb="FF95B3D7"/>
        <bgColor rgb="FF95B3D7"/>
      </patternFill>
    </fill>
    <fill>
      <patternFill patternType="solid">
        <fgColor rgb="FF92D050"/>
        <bgColor rgb="FF92D050"/>
      </patternFill>
    </fill>
  </fills>
  <borders count="37">
    <border/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top/>
    </border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right/>
      <bottom/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right/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2" fontId="1" numFmtId="0" xfId="0" applyAlignment="1" applyBorder="1" applyFont="1">
      <alignment vertical="bottom"/>
    </xf>
    <xf borderId="3" fillId="2" fontId="1" numFmtId="0" xfId="0" applyAlignment="1" applyBorder="1" applyFont="1">
      <alignment horizontal="center" vertical="bottom"/>
    </xf>
    <xf borderId="4" fillId="2" fontId="2" numFmtId="0" xfId="0" applyAlignment="1" applyBorder="1" applyFont="1">
      <alignment vertical="bottom"/>
    </xf>
    <xf borderId="4" fillId="2" fontId="2" numFmtId="0" xfId="0" applyAlignment="1" applyBorder="1" applyFont="1">
      <alignment horizontal="center" vertical="bottom"/>
    </xf>
    <xf borderId="5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6" fillId="3" fontId="1" numFmtId="0" xfId="0" applyAlignment="1" applyBorder="1" applyFill="1" applyFont="1">
      <alignment vertical="bottom"/>
    </xf>
    <xf borderId="7" fillId="0" fontId="4" numFmtId="0" xfId="0" applyBorder="1" applyFont="1"/>
    <xf borderId="8" fillId="3" fontId="1" numFmtId="0" xfId="0" applyAlignment="1" applyBorder="1" applyFont="1">
      <alignment vertical="bottom"/>
    </xf>
    <xf borderId="6" fillId="4" fontId="5" numFmtId="0" xfId="0" applyAlignment="1" applyBorder="1" applyFill="1" applyFont="1">
      <alignment horizontal="center" vertical="bottom"/>
    </xf>
    <xf borderId="9" fillId="0" fontId="4" numFmtId="0" xfId="0" applyBorder="1" applyFont="1"/>
    <xf borderId="6" fillId="5" fontId="5" numFmtId="0" xfId="0" applyAlignment="1" applyBorder="1" applyFill="1" applyFont="1">
      <alignment horizontal="center" vertical="bottom"/>
    </xf>
    <xf borderId="9" fillId="6" fontId="5" numFmtId="0" xfId="0" applyAlignment="1" applyBorder="1" applyFill="1" applyFont="1">
      <alignment horizontal="center" vertical="bottom"/>
    </xf>
    <xf borderId="9" fillId="7" fontId="5" numFmtId="0" xfId="0" applyAlignment="1" applyBorder="1" applyFill="1" applyFont="1">
      <alignment horizontal="center" vertical="bottom"/>
    </xf>
    <xf borderId="9" fillId="8" fontId="5" numFmtId="0" xfId="0" applyAlignment="1" applyBorder="1" applyFill="1" applyFont="1">
      <alignment horizontal="center" vertical="bottom"/>
    </xf>
    <xf borderId="6" fillId="9" fontId="5" numFmtId="0" xfId="0" applyAlignment="1" applyBorder="1" applyFill="1" applyFont="1">
      <alignment horizontal="center" vertical="bottom"/>
    </xf>
    <xf borderId="6" fillId="10" fontId="5" numFmtId="0" xfId="0" applyAlignment="1" applyBorder="1" applyFill="1" applyFont="1">
      <alignment horizontal="center" vertical="bottom"/>
    </xf>
    <xf borderId="6" fillId="11" fontId="5" numFmtId="0" xfId="0" applyAlignment="1" applyBorder="1" applyFill="1" applyFont="1">
      <alignment horizontal="center" vertical="bottom"/>
    </xf>
    <xf borderId="6" fillId="12" fontId="5" numFmtId="0" xfId="0" applyAlignment="1" applyBorder="1" applyFill="1" applyFont="1">
      <alignment horizontal="center" vertical="bottom"/>
    </xf>
    <xf borderId="10" fillId="0" fontId="5" numFmtId="0" xfId="0" applyAlignment="1" applyBorder="1" applyFont="1">
      <alignment horizontal="center"/>
    </xf>
    <xf borderId="10" fillId="3" fontId="5" numFmtId="0" xfId="0" applyAlignment="1" applyBorder="1" applyFont="1">
      <alignment horizontal="center" shrinkToFit="0" wrapText="1"/>
    </xf>
    <xf borderId="10" fillId="4" fontId="5" numFmtId="0" xfId="0" applyAlignment="1" applyBorder="1" applyFont="1">
      <alignment horizontal="center" shrinkToFit="0" wrapText="1"/>
    </xf>
    <xf borderId="10" fillId="4" fontId="5" numFmtId="0" xfId="0" applyAlignment="1" applyBorder="1" applyFont="1">
      <alignment horizontal="center"/>
    </xf>
    <xf borderId="10" fillId="5" fontId="5" numFmtId="0" xfId="0" applyAlignment="1" applyBorder="1" applyFont="1">
      <alignment horizontal="center" shrinkToFit="0" wrapText="1"/>
    </xf>
    <xf borderId="10" fillId="5" fontId="5" numFmtId="0" xfId="0" applyAlignment="1" applyBorder="1" applyFont="1">
      <alignment horizontal="center"/>
    </xf>
    <xf borderId="7" fillId="6" fontId="5" numFmtId="0" xfId="0" applyAlignment="1" applyBorder="1" applyFont="1">
      <alignment horizontal="center" shrinkToFit="0" vertical="bottom" wrapText="1"/>
    </xf>
    <xf borderId="10" fillId="6" fontId="5" numFmtId="0" xfId="0" applyAlignment="1" applyBorder="1" applyFont="1">
      <alignment horizontal="center" vertical="bottom"/>
    </xf>
    <xf borderId="10" fillId="7" fontId="5" numFmtId="0" xfId="0" applyAlignment="1" applyBorder="1" applyFont="1">
      <alignment horizontal="center" shrinkToFit="0" wrapText="1"/>
    </xf>
    <xf borderId="10" fillId="7" fontId="5" numFmtId="0" xfId="0" applyAlignment="1" applyBorder="1" applyFont="1">
      <alignment horizontal="center"/>
    </xf>
    <xf borderId="10" fillId="8" fontId="5" numFmtId="0" xfId="0" applyAlignment="1" applyBorder="1" applyFont="1">
      <alignment horizontal="center" shrinkToFit="0" wrapText="1"/>
    </xf>
    <xf borderId="10" fillId="8" fontId="5" numFmtId="0" xfId="0" applyAlignment="1" applyBorder="1" applyFont="1">
      <alignment horizontal="center"/>
    </xf>
    <xf borderId="11" fillId="9" fontId="5" numFmtId="0" xfId="0" applyAlignment="1" applyBorder="1" applyFont="1">
      <alignment horizontal="center" shrinkToFit="0" wrapText="1"/>
    </xf>
    <xf borderId="11" fillId="9" fontId="5" numFmtId="0" xfId="0" applyAlignment="1" applyBorder="1" applyFont="1">
      <alignment horizontal="center"/>
    </xf>
    <xf borderId="10" fillId="9" fontId="5" numFmtId="0" xfId="0" applyAlignment="1" applyBorder="1" applyFont="1">
      <alignment horizontal="center"/>
    </xf>
    <xf borderId="10" fillId="10" fontId="6" numFmtId="0" xfId="0" applyAlignment="1" applyBorder="1" applyFont="1">
      <alignment horizontal="center" shrinkToFit="0" vertical="bottom" wrapText="1"/>
    </xf>
    <xf borderId="10" fillId="10" fontId="6" numFmtId="0" xfId="0" applyAlignment="1" applyBorder="1" applyFont="1">
      <alignment horizontal="center" vertical="bottom"/>
    </xf>
    <xf borderId="10" fillId="10" fontId="5" numFmtId="0" xfId="0" applyAlignment="1" applyBorder="1" applyFont="1">
      <alignment horizontal="center" vertical="bottom"/>
    </xf>
    <xf borderId="10" fillId="11" fontId="5" numFmtId="0" xfId="0" applyAlignment="1" applyBorder="1" applyFont="1">
      <alignment horizontal="center" vertical="bottom"/>
    </xf>
    <xf borderId="10" fillId="12" fontId="5" numFmtId="0" xfId="0" applyAlignment="1" applyBorder="1" applyFont="1">
      <alignment horizontal="center" vertical="bottom"/>
    </xf>
    <xf borderId="10" fillId="5" fontId="6" numFmtId="0" xfId="0" applyAlignment="1" applyBorder="1" applyFont="1">
      <alignment horizontal="center" shrinkToFit="0" vertical="bottom" wrapText="1"/>
    </xf>
    <xf borderId="10" fillId="5" fontId="6" numFmtId="0" xfId="0" applyAlignment="1" applyBorder="1" applyFont="1">
      <alignment horizontal="center" vertical="bottom"/>
    </xf>
    <xf borderId="10" fillId="5" fontId="5" numFmtId="0" xfId="0" applyAlignment="1" applyBorder="1" applyFont="1">
      <alignment horizontal="center" vertical="bottom"/>
    </xf>
    <xf borderId="10" fillId="0" fontId="7" numFmtId="0" xfId="0" applyBorder="1" applyFont="1"/>
    <xf borderId="10" fillId="3" fontId="7" numFmtId="0" xfId="0" applyAlignment="1" applyBorder="1" applyFont="1">
      <alignment horizontal="center" shrinkToFit="0" wrapText="1"/>
    </xf>
    <xf borderId="10" fillId="3" fontId="8" numFmtId="0" xfId="0" applyAlignment="1" applyBorder="1" applyFont="1">
      <alignment horizontal="center" shrinkToFit="0" wrapText="1"/>
    </xf>
    <xf borderId="10" fillId="4" fontId="7" numFmtId="0" xfId="0" applyAlignment="1" applyBorder="1" applyFont="1">
      <alignment horizontal="center" shrinkToFit="0" wrapText="1"/>
    </xf>
    <xf borderId="10" fillId="4" fontId="7" numFmtId="0" xfId="0" applyAlignment="1" applyBorder="1" applyFont="1">
      <alignment horizontal="center"/>
    </xf>
    <xf borderId="10" fillId="4" fontId="7" numFmtId="2" xfId="0" applyAlignment="1" applyBorder="1" applyFont="1" applyNumberFormat="1">
      <alignment horizontal="center"/>
    </xf>
    <xf borderId="10" fillId="5" fontId="7" numFmtId="0" xfId="0" applyAlignment="1" applyBorder="1" applyFont="1">
      <alignment horizontal="center" shrinkToFit="0" wrapText="1"/>
    </xf>
    <xf borderId="7" fillId="6" fontId="7" numFmtId="0" xfId="0" applyAlignment="1" applyBorder="1" applyFont="1">
      <alignment horizontal="center" shrinkToFit="0" vertical="bottom" wrapText="1"/>
    </xf>
    <xf borderId="10" fillId="6" fontId="7" numFmtId="0" xfId="0" applyAlignment="1" applyBorder="1" applyFont="1">
      <alignment horizontal="center" vertical="bottom"/>
    </xf>
    <xf borderId="10" fillId="6" fontId="7" numFmtId="2" xfId="0" applyAlignment="1" applyBorder="1" applyFont="1" applyNumberFormat="1">
      <alignment horizontal="center" vertical="bottom"/>
    </xf>
    <xf borderId="12" fillId="6" fontId="7" numFmtId="0" xfId="0" applyAlignment="1" applyBorder="1" applyFont="1">
      <alignment horizontal="center" vertical="bottom"/>
    </xf>
    <xf borderId="6" fillId="7" fontId="7" numFmtId="0" xfId="0" applyAlignment="1" applyBorder="1" applyFont="1">
      <alignment horizontal="center" shrinkToFit="0" wrapText="1"/>
    </xf>
    <xf borderId="10" fillId="8" fontId="7" numFmtId="0" xfId="0" applyAlignment="1" applyBorder="1" applyFont="1">
      <alignment horizontal="center" shrinkToFit="0" wrapText="1"/>
    </xf>
    <xf borderId="10" fillId="8" fontId="7" numFmtId="0" xfId="0" applyAlignment="1" applyBorder="1" applyFont="1">
      <alignment horizontal="center"/>
    </xf>
    <xf borderId="10" fillId="8" fontId="7" numFmtId="2" xfId="0" applyAlignment="1" applyBorder="1" applyFont="1" applyNumberFormat="1">
      <alignment horizontal="center"/>
    </xf>
    <xf borderId="6" fillId="8" fontId="7" numFmtId="0" xfId="0" applyAlignment="1" applyBorder="1" applyFont="1">
      <alignment horizontal="center" shrinkToFit="0" wrapText="1"/>
    </xf>
    <xf borderId="10" fillId="9" fontId="7" numFmtId="0" xfId="0" applyAlignment="1" applyBorder="1" applyFont="1">
      <alignment horizontal="center" shrinkToFit="0" vertical="bottom" wrapText="1"/>
    </xf>
    <xf borderId="10" fillId="9" fontId="7" numFmtId="0" xfId="0" applyAlignment="1" applyBorder="1" applyFont="1">
      <alignment horizontal="center" shrinkToFit="0" wrapText="1"/>
    </xf>
    <xf borderId="13" fillId="9" fontId="7" numFmtId="2" xfId="0" applyAlignment="1" applyBorder="1" applyFont="1" applyNumberFormat="1">
      <alignment horizontal="center"/>
    </xf>
    <xf borderId="10" fillId="9" fontId="7" numFmtId="0" xfId="0" applyAlignment="1" applyBorder="1" applyFont="1">
      <alignment horizontal="center"/>
    </xf>
    <xf borderId="10" fillId="10" fontId="1" numFmtId="0" xfId="0" applyAlignment="1" applyBorder="1" applyFont="1">
      <alignment horizontal="center" shrinkToFit="0" vertical="bottom" wrapText="1"/>
    </xf>
    <xf borderId="10" fillId="10" fontId="7" numFmtId="2" xfId="0" applyAlignment="1" applyBorder="1" applyFont="1" applyNumberFormat="1">
      <alignment horizontal="center" vertical="bottom"/>
    </xf>
    <xf borderId="10" fillId="10" fontId="1" numFmtId="0" xfId="0" applyAlignment="1" applyBorder="1" applyFont="1">
      <alignment horizontal="center" vertical="bottom"/>
    </xf>
    <xf borderId="10" fillId="11" fontId="1" numFmtId="0" xfId="0" applyAlignment="1" applyBorder="1" applyFont="1">
      <alignment horizontal="center" vertical="bottom"/>
    </xf>
    <xf borderId="10" fillId="12" fontId="1" numFmtId="0" xfId="0" applyAlignment="1" applyBorder="1" applyFont="1">
      <alignment horizontal="center" vertical="bottom"/>
    </xf>
    <xf borderId="10" fillId="12" fontId="7" numFmtId="0" xfId="0" applyAlignment="1" applyBorder="1" applyFont="1">
      <alignment horizontal="center" vertical="bottom"/>
    </xf>
    <xf borderId="10" fillId="5" fontId="7" numFmtId="0" xfId="0" applyAlignment="1" applyBorder="1" applyFont="1">
      <alignment horizontal="center" vertical="bottom"/>
    </xf>
    <xf borderId="10" fillId="0" fontId="7" numFmtId="0" xfId="0" applyAlignment="1" applyBorder="1" applyFont="1">
      <alignment vertical="bottom"/>
    </xf>
    <xf borderId="10" fillId="3" fontId="7" numFmtId="0" xfId="0" applyAlignment="1" applyBorder="1" applyFont="1">
      <alignment horizontal="center" vertical="bottom"/>
    </xf>
    <xf borderId="10" fillId="3" fontId="8" numFmtId="0" xfId="0" applyAlignment="1" applyBorder="1" applyFont="1">
      <alignment horizontal="center" vertical="bottom"/>
    </xf>
    <xf borderId="10" fillId="4" fontId="7" numFmtId="0" xfId="0" applyAlignment="1" applyBorder="1" applyFont="1">
      <alignment horizontal="center" vertical="bottom"/>
    </xf>
    <xf borderId="10" fillId="0" fontId="7" numFmtId="0" xfId="0" applyAlignment="1" applyBorder="1" applyFont="1">
      <alignment shrinkToFit="0" vertical="bottom" wrapText="1"/>
    </xf>
    <xf borderId="10" fillId="6" fontId="2" numFmtId="0" xfId="0" applyAlignment="1" applyBorder="1" applyFont="1">
      <alignment horizontal="center" vertical="bottom"/>
    </xf>
    <xf borderId="14" fillId="0" fontId="5" numFmtId="0" xfId="0" applyAlignment="1" applyBorder="1" applyFont="1">
      <alignment horizontal="center" vertical="bottom"/>
    </xf>
    <xf borderId="11" fillId="3" fontId="5" numFmtId="0" xfId="0" applyAlignment="1" applyBorder="1" applyFont="1">
      <alignment horizontal="center" vertical="bottom"/>
    </xf>
    <xf borderId="11" fillId="4" fontId="1" numFmtId="0" xfId="0" applyAlignment="1" applyBorder="1" applyFont="1">
      <alignment vertical="bottom"/>
    </xf>
    <xf borderId="11" fillId="3" fontId="5" numFmtId="2" xfId="0" applyAlignment="1" applyBorder="1" applyFont="1" applyNumberFormat="1">
      <alignment horizontal="center" vertical="bottom"/>
    </xf>
    <xf borderId="14" fillId="5" fontId="1" numFmtId="0" xfId="0" applyAlignment="1" applyBorder="1" applyFont="1">
      <alignment horizontal="center" vertical="bottom"/>
    </xf>
    <xf borderId="14" fillId="5" fontId="1" numFmtId="0" xfId="0" applyAlignment="1" applyBorder="1" applyFont="1">
      <alignment vertical="bottom"/>
    </xf>
    <xf borderId="15" fillId="6" fontId="2" numFmtId="0" xfId="0" applyAlignment="1" applyBorder="1" applyFont="1">
      <alignment vertical="bottom"/>
    </xf>
    <xf borderId="11" fillId="6" fontId="2" numFmtId="0" xfId="0" applyAlignment="1" applyBorder="1" applyFont="1">
      <alignment horizontal="center" vertical="bottom"/>
    </xf>
    <xf borderId="16" fillId="6" fontId="2" numFmtId="0" xfId="0" applyAlignment="1" applyBorder="1" applyFont="1">
      <alignment vertical="bottom"/>
    </xf>
    <xf borderId="17" fillId="7" fontId="1" numFmtId="0" xfId="0" applyAlignment="1" applyBorder="1" applyFont="1">
      <alignment vertical="bottom"/>
    </xf>
    <xf borderId="6" fillId="3" fontId="9" numFmtId="0" xfId="0" applyAlignment="1" applyBorder="1" applyFont="1">
      <alignment horizontal="center" shrinkToFit="0" wrapText="1"/>
    </xf>
    <xf borderId="11" fillId="8" fontId="1" numFmtId="0" xfId="0" applyAlignment="1" applyBorder="1" applyFont="1">
      <alignment vertical="bottom"/>
    </xf>
    <xf borderId="10" fillId="9" fontId="1" numFmtId="0" xfId="0" applyAlignment="1" applyBorder="1" applyFont="1">
      <alignment vertical="bottom"/>
    </xf>
    <xf borderId="18" fillId="3" fontId="5" numFmtId="2" xfId="0" applyAlignment="1" applyBorder="1" applyFont="1" applyNumberFormat="1">
      <alignment horizontal="center" vertical="bottom"/>
    </xf>
    <xf borderId="11" fillId="9" fontId="1" numFmtId="0" xfId="0" applyAlignment="1" applyBorder="1" applyFont="1">
      <alignment vertical="bottom"/>
    </xf>
    <xf borderId="10" fillId="10" fontId="1" numFmtId="0" xfId="0" applyAlignment="1" applyBorder="1" applyFont="1">
      <alignment vertical="bottom"/>
    </xf>
    <xf borderId="10" fillId="3" fontId="5" numFmtId="2" xfId="0" applyAlignment="1" applyBorder="1" applyFont="1" applyNumberFormat="1">
      <alignment horizontal="center" vertical="bottom"/>
    </xf>
    <xf borderId="10" fillId="11" fontId="1" numFmtId="0" xfId="0" applyAlignment="1" applyBorder="1" applyFont="1">
      <alignment vertical="bottom"/>
    </xf>
    <xf borderId="10" fillId="13" fontId="1" numFmtId="0" xfId="0" applyAlignment="1" applyBorder="1" applyFill="1" applyFont="1">
      <alignment vertical="bottom"/>
    </xf>
    <xf borderId="10" fillId="12" fontId="1" numFmtId="0" xfId="0" applyAlignment="1" applyBorder="1" applyFont="1">
      <alignment vertical="bottom"/>
    </xf>
    <xf borderId="10" fillId="13" fontId="7" numFmtId="0" xfId="0" applyAlignment="1" applyBorder="1" applyFont="1">
      <alignment horizontal="center" vertical="bottom"/>
    </xf>
    <xf borderId="12" fillId="3" fontId="1" numFmtId="0" xfId="0" applyAlignment="1" applyBorder="1" applyFont="1">
      <alignment vertical="bottom"/>
    </xf>
    <xf borderId="19" fillId="3" fontId="1" numFmtId="0" xfId="0" applyAlignment="1" applyBorder="1" applyFont="1">
      <alignment vertical="bottom"/>
    </xf>
    <xf borderId="19" fillId="3" fontId="1" numFmtId="0" xfId="0" applyAlignment="1" applyBorder="1" applyFont="1">
      <alignment horizontal="center" vertical="bottom"/>
    </xf>
    <xf borderId="19" fillId="3" fontId="2" numFmtId="0" xfId="0" applyAlignment="1" applyBorder="1" applyFont="1">
      <alignment vertical="bottom"/>
    </xf>
    <xf borderId="19" fillId="3" fontId="2" numFmtId="0" xfId="0" applyAlignment="1" applyBorder="1" applyFont="1">
      <alignment horizontal="center" vertical="bottom"/>
    </xf>
    <xf borderId="20" fillId="3" fontId="1" numFmtId="0" xfId="0" applyAlignment="1" applyBorder="1" applyFont="1">
      <alignment vertical="bottom"/>
    </xf>
    <xf borderId="21" fillId="3" fontId="1" numFmtId="0" xfId="0" applyAlignment="1" applyBorder="1" applyFont="1">
      <alignment vertical="bottom"/>
    </xf>
    <xf borderId="22" fillId="3" fontId="1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0" fillId="13" fontId="1" numFmtId="0" xfId="0" applyAlignment="1" applyFont="1">
      <alignment vertical="bottom"/>
    </xf>
    <xf borderId="6" fillId="2" fontId="3" numFmtId="0" xfId="0" applyAlignment="1" applyBorder="1" applyFont="1">
      <alignment horizontal="center" vertical="bottom"/>
    </xf>
    <xf borderId="19" fillId="2" fontId="1" numFmtId="0" xfId="0" applyAlignment="1" applyBorder="1" applyFont="1">
      <alignment vertical="bottom"/>
    </xf>
    <xf borderId="19" fillId="2" fontId="1" numFmtId="0" xfId="0" applyAlignment="1" applyBorder="1" applyFont="1">
      <alignment horizontal="center" vertical="bottom"/>
    </xf>
    <xf borderId="19" fillId="2" fontId="2" numFmtId="0" xfId="0" applyAlignment="1" applyBorder="1" applyFont="1">
      <alignment vertical="bottom"/>
    </xf>
    <xf borderId="19" fillId="2" fontId="2" numFmtId="0" xfId="0" applyAlignment="1" applyBorder="1" applyFont="1">
      <alignment horizontal="center" vertical="bottom"/>
    </xf>
    <xf borderId="23" fillId="2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24" fillId="0" fontId="4" numFmtId="0" xfId="0" applyBorder="1" applyFont="1"/>
    <xf borderId="25" fillId="3" fontId="1" numFmtId="0" xfId="0" applyAlignment="1" applyBorder="1" applyFont="1">
      <alignment vertical="bottom"/>
    </xf>
    <xf borderId="2" fillId="6" fontId="5" numFmtId="0" xfId="0" applyAlignment="1" applyBorder="1" applyFont="1">
      <alignment horizontal="center" vertical="bottom"/>
    </xf>
    <xf borderId="12" fillId="6" fontId="5" numFmtId="0" xfId="0" applyAlignment="1" applyBorder="1" applyFont="1">
      <alignment horizontal="center" vertical="bottom"/>
    </xf>
    <xf borderId="26" fillId="9" fontId="5" numFmtId="0" xfId="0" applyAlignment="1" applyBorder="1" applyFont="1">
      <alignment horizontal="center" shrinkToFit="0" wrapText="1"/>
    </xf>
    <xf borderId="27" fillId="9" fontId="5" numFmtId="0" xfId="0" applyAlignment="1" applyBorder="1" applyFont="1">
      <alignment horizontal="center"/>
    </xf>
    <xf borderId="28" fillId="9" fontId="5" numFmtId="0" xfId="0" applyAlignment="1" applyBorder="1" applyFont="1">
      <alignment horizontal="center"/>
    </xf>
    <xf borderId="7" fillId="6" fontId="7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center" vertical="bottom"/>
    </xf>
    <xf borderId="10" fillId="3" fontId="5" numFmtId="0" xfId="0" applyAlignment="1" applyBorder="1" applyFont="1">
      <alignment horizontal="center" vertical="bottom"/>
    </xf>
    <xf borderId="10" fillId="4" fontId="1" numFmtId="0" xfId="0" applyAlignment="1" applyBorder="1" applyFont="1">
      <alignment vertical="bottom"/>
    </xf>
    <xf borderId="10" fillId="3" fontId="5" numFmtId="2" xfId="0" applyAlignment="1" applyBorder="1" applyFont="1" applyNumberFormat="1">
      <alignment horizontal="center"/>
    </xf>
    <xf borderId="10" fillId="4" fontId="1" numFmtId="0" xfId="0" applyBorder="1" applyFont="1"/>
    <xf borderId="10" fillId="5" fontId="1" numFmtId="0" xfId="0" applyAlignment="1" applyBorder="1" applyFont="1">
      <alignment horizontal="center" vertical="bottom"/>
    </xf>
    <xf borderId="10" fillId="5" fontId="1" numFmtId="0" xfId="0" applyAlignment="1" applyBorder="1" applyFont="1">
      <alignment vertical="bottom"/>
    </xf>
    <xf borderId="10" fillId="3" fontId="6" numFmtId="0" xfId="0" applyAlignment="1" applyBorder="1" applyFont="1">
      <alignment horizontal="center" vertical="bottom"/>
    </xf>
    <xf borderId="7" fillId="6" fontId="2" numFmtId="0" xfId="0" applyAlignment="1" applyBorder="1" applyFont="1">
      <alignment vertical="bottom"/>
    </xf>
    <xf borderId="12" fillId="6" fontId="2" numFmtId="0" xfId="0" applyAlignment="1" applyBorder="1" applyFont="1">
      <alignment vertical="bottom"/>
    </xf>
    <xf borderId="6" fillId="7" fontId="1" numFmtId="0" xfId="0" applyBorder="1" applyFont="1"/>
    <xf borderId="6" fillId="3" fontId="5" numFmtId="0" xfId="0" applyAlignment="1" applyBorder="1" applyFont="1">
      <alignment horizontal="center" shrinkToFit="0" wrapText="1"/>
    </xf>
    <xf borderId="10" fillId="8" fontId="1" numFmtId="0" xfId="0" applyBorder="1" applyFont="1"/>
    <xf borderId="10" fillId="8" fontId="1" numFmtId="0" xfId="0" applyAlignment="1" applyBorder="1" applyFont="1">
      <alignment vertical="bottom"/>
    </xf>
    <xf borderId="10" fillId="9" fontId="1" numFmtId="0" xfId="0" applyBorder="1" applyFont="1"/>
    <xf borderId="13" fillId="3" fontId="5" numFmtId="2" xfId="0" applyAlignment="1" applyBorder="1" applyFont="1" applyNumberFormat="1">
      <alignment horizontal="center" vertical="bottom"/>
    </xf>
    <xf borderId="12" fillId="9" fontId="1" numFmtId="0" xfId="0" applyBorder="1" applyFont="1"/>
    <xf borderId="27" fillId="3" fontId="1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22" fillId="3" fontId="1" numFmtId="0" xfId="0" applyAlignment="1" applyBorder="1" applyFont="1">
      <alignment horizontal="center" vertical="bottom"/>
    </xf>
    <xf borderId="4" fillId="3" fontId="2" numFmtId="0" xfId="0" applyAlignment="1" applyBorder="1" applyFont="1">
      <alignment vertical="bottom"/>
    </xf>
    <xf borderId="4" fillId="3" fontId="2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vertical="bottom"/>
    </xf>
    <xf borderId="10" fillId="3" fontId="7" numFmtId="0" xfId="0" applyAlignment="1" applyBorder="1" applyFont="1">
      <alignment horizontal="center"/>
    </xf>
    <xf borderId="10" fillId="3" fontId="8" numFmtId="0" xfId="0" applyAlignment="1" applyBorder="1" applyFont="1">
      <alignment horizontal="center"/>
    </xf>
    <xf borderId="6" fillId="7" fontId="1" numFmtId="0" xfId="0" applyAlignment="1" applyBorder="1" applyFont="1">
      <alignment vertical="bottom"/>
    </xf>
    <xf borderId="10" fillId="4" fontId="7" numFmtId="2" xfId="0" applyAlignment="1" applyBorder="1" applyFont="1" applyNumberFormat="1">
      <alignment horizontal="center" vertical="bottom"/>
    </xf>
    <xf borderId="6" fillId="3" fontId="10" numFmtId="0" xfId="0" applyAlignment="1" applyBorder="1" applyFont="1">
      <alignment horizontal="center"/>
    </xf>
    <xf borderId="29" fillId="3" fontId="1" numFmtId="0" xfId="0" applyAlignment="1" applyBorder="1" applyFont="1">
      <alignment vertical="bottom"/>
    </xf>
    <xf borderId="4" fillId="2" fontId="1" numFmtId="0" xfId="0" applyAlignment="1" applyBorder="1" applyFont="1">
      <alignment horizontal="center" vertical="bottom"/>
    </xf>
    <xf borderId="5" fillId="2" fontId="2" numFmtId="0" xfId="0" applyAlignment="1" applyBorder="1" applyFont="1">
      <alignment vertical="bottom"/>
    </xf>
    <xf borderId="5" fillId="2" fontId="2" numFmtId="0" xfId="0" applyAlignment="1" applyBorder="1" applyFont="1">
      <alignment horizontal="center" vertical="bottom"/>
    </xf>
    <xf borderId="6" fillId="6" fontId="5" numFmtId="0" xfId="0" applyAlignment="1" applyBorder="1" applyFont="1">
      <alignment horizontal="center" vertical="bottom"/>
    </xf>
    <xf borderId="10" fillId="6" fontId="5" numFmtId="0" xfId="0" applyAlignment="1" applyBorder="1" applyFont="1">
      <alignment horizontal="center" shrinkToFit="0" vertical="bottom" wrapText="1"/>
    </xf>
    <xf borderId="11" fillId="10" fontId="6" numFmtId="0" xfId="0" applyAlignment="1" applyBorder="1" applyFont="1">
      <alignment horizontal="center" shrinkToFit="0" vertical="bottom" wrapText="1"/>
    </xf>
    <xf borderId="11" fillId="10" fontId="6" numFmtId="0" xfId="0" applyAlignment="1" applyBorder="1" applyFont="1">
      <alignment horizontal="center" vertical="bottom"/>
    </xf>
    <xf borderId="13" fillId="10" fontId="7" numFmtId="2" xfId="0" applyAlignment="1" applyBorder="1" applyFont="1" applyNumberFormat="1">
      <alignment horizontal="center" vertical="bottom"/>
    </xf>
    <xf borderId="10" fillId="6" fontId="2" numFmtId="0" xfId="0" applyAlignment="1" applyBorder="1" applyFont="1">
      <alignment vertical="bottom"/>
    </xf>
    <xf borderId="13" fillId="3" fontId="5" numFmtId="2" xfId="0" applyAlignment="1" applyBorder="1" applyFont="1" applyNumberFormat="1">
      <alignment horizontal="center"/>
    </xf>
    <xf borderId="4" fillId="3" fontId="1" numFmtId="0" xfId="0" applyAlignment="1" applyBorder="1" applyFont="1">
      <alignment horizontal="center" vertical="bottom"/>
    </xf>
    <xf borderId="22" fillId="3" fontId="2" numFmtId="0" xfId="0" applyAlignment="1" applyBorder="1" applyFont="1">
      <alignment vertical="bottom"/>
    </xf>
    <xf borderId="22" fillId="3" fontId="2" numFmtId="0" xfId="0" applyAlignment="1" applyBorder="1" applyFont="1">
      <alignment horizontal="center" vertical="bottom"/>
    </xf>
    <xf borderId="22" fillId="3" fontId="2" numFmtId="2" xfId="0" applyAlignment="1" applyBorder="1" applyFont="1" applyNumberFormat="1">
      <alignment vertical="bottom"/>
    </xf>
    <xf borderId="6" fillId="12" fontId="7" numFmtId="0" xfId="0" applyAlignment="1" applyBorder="1" applyFont="1">
      <alignment horizontal="center" vertical="bottom"/>
    </xf>
    <xf borderId="6" fillId="12" fontId="1" numFmtId="0" xfId="0" applyAlignment="1" applyBorder="1" applyFont="1">
      <alignment vertical="bottom"/>
    </xf>
    <xf borderId="5" fillId="3" fontId="1" numFmtId="0" xfId="0" applyAlignment="1" applyBorder="1" applyFont="1">
      <alignment horizontal="center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center" vertical="bottom"/>
    </xf>
    <xf borderId="4" fillId="14" fontId="5" numFmtId="0" xfId="0" applyAlignment="1" applyBorder="1" applyFill="1" applyFont="1">
      <alignment horizontal="center" vertical="bottom"/>
    </xf>
    <xf borderId="30" fillId="3" fontId="5" numFmtId="0" xfId="0" applyAlignment="1" applyBorder="1" applyFont="1">
      <alignment horizontal="center" vertical="bottom"/>
    </xf>
    <xf borderId="4" fillId="15" fontId="1" numFmtId="2" xfId="0" applyAlignment="1" applyBorder="1" applyFill="1" applyFont="1" applyNumberFormat="1">
      <alignment vertical="bottom"/>
    </xf>
    <xf borderId="30" fillId="3" fontId="5" numFmtId="2" xfId="0" applyAlignment="1" applyBorder="1" applyFont="1" applyNumberFormat="1">
      <alignment horizontal="center" vertical="bottom"/>
    </xf>
    <xf borderId="4" fillId="15" fontId="1" numFmtId="2" xfId="0" applyAlignment="1" applyBorder="1" applyFont="1" applyNumberFormat="1">
      <alignment horizontal="center" vertical="bottom"/>
    </xf>
    <xf borderId="31" fillId="15" fontId="1" numFmtId="2" xfId="0" applyAlignment="1" applyBorder="1" applyFont="1" applyNumberFormat="1">
      <alignment vertical="bottom"/>
    </xf>
    <xf borderId="32" fillId="15" fontId="1" numFmtId="2" xfId="0" applyAlignment="1" applyBorder="1" applyFont="1" applyNumberFormat="1">
      <alignment vertical="bottom"/>
    </xf>
    <xf borderId="4" fillId="15" fontId="2" numFmtId="2" xfId="0" applyAlignment="1" applyBorder="1" applyFont="1" applyNumberFormat="1">
      <alignment vertical="bottom"/>
    </xf>
    <xf borderId="4" fillId="15" fontId="2" numFmtId="2" xfId="0" applyAlignment="1" applyBorder="1" applyFont="1" applyNumberFormat="1">
      <alignment horizontal="center" vertical="bottom"/>
    </xf>
    <xf borderId="10" fillId="3" fontId="9" numFmtId="2" xfId="0" applyAlignment="1" applyBorder="1" applyFont="1" applyNumberFormat="1">
      <alignment horizontal="center" vertical="bottom"/>
    </xf>
    <xf borderId="30" fillId="13" fontId="5" numFmtId="2" xfId="0" applyAlignment="1" applyBorder="1" applyFont="1" applyNumberFormat="1">
      <alignment horizontal="center" vertical="bottom"/>
    </xf>
    <xf borderId="0" fillId="15" fontId="1" numFmtId="2" xfId="0" applyAlignment="1" applyFont="1" applyNumberFormat="1">
      <alignment vertical="bottom"/>
    </xf>
    <xf borderId="30" fillId="13" fontId="1" numFmtId="2" xfId="0" applyAlignment="1" applyBorder="1" applyFont="1" applyNumberFormat="1">
      <alignment vertical="bottom"/>
    </xf>
    <xf borderId="0" fillId="0" fontId="2" numFmtId="0" xfId="0" applyAlignment="1" applyFont="1">
      <alignment horizontal="center"/>
    </xf>
    <xf borderId="0" fillId="0" fontId="7" numFmtId="0" xfId="0" applyAlignment="1" applyFont="1">
      <alignment vertical="bottom"/>
    </xf>
    <xf borderId="0" fillId="16" fontId="5" numFmtId="0" xfId="0" applyAlignment="1" applyFill="1" applyFont="1">
      <alignment horizontal="center" vertical="bottom"/>
    </xf>
    <xf borderId="0" fillId="5" fontId="5" numFmtId="0" xfId="0" applyAlignment="1" applyFont="1">
      <alignment horizontal="center" vertical="bottom"/>
    </xf>
    <xf borderId="6" fillId="8" fontId="5" numFmtId="0" xfId="0" applyAlignment="1" applyBorder="1" applyFont="1">
      <alignment horizontal="center" vertical="bottom"/>
    </xf>
    <xf borderId="6" fillId="17" fontId="5" numFmtId="0" xfId="0" applyAlignment="1" applyBorder="1" applyFill="1" applyFont="1">
      <alignment horizontal="center" vertical="bottom"/>
    </xf>
    <xf borderId="6" fillId="18" fontId="5" numFmtId="0" xfId="0" applyAlignment="1" applyBorder="1" applyFill="1" applyFont="1">
      <alignment horizontal="center" vertical="bottom"/>
    </xf>
    <xf borderId="6" fillId="19" fontId="5" numFmtId="0" xfId="0" applyAlignment="1" applyBorder="1" applyFill="1" applyFont="1">
      <alignment horizontal="center" vertical="bottom"/>
    </xf>
    <xf borderId="6" fillId="20" fontId="5" numFmtId="0" xfId="0" applyAlignment="1" applyBorder="1" applyFill="1" applyFont="1">
      <alignment horizontal="center" vertical="bottom"/>
    </xf>
    <xf borderId="12" fillId="3" fontId="7" numFmtId="0" xfId="0" applyAlignment="1" applyBorder="1" applyFont="1">
      <alignment vertical="bottom"/>
    </xf>
    <xf borderId="10" fillId="16" fontId="5" numFmtId="0" xfId="0" applyAlignment="1" applyBorder="1" applyFont="1">
      <alignment horizontal="center" shrinkToFit="0" wrapText="1"/>
    </xf>
    <xf borderId="10" fillId="16" fontId="5" numFmtId="0" xfId="0" applyAlignment="1" applyBorder="1" applyFont="1">
      <alignment horizontal="center"/>
    </xf>
    <xf borderId="10" fillId="17" fontId="5" numFmtId="0" xfId="0" applyAlignment="1" applyBorder="1" applyFont="1">
      <alignment horizontal="center" shrinkToFit="0" wrapText="1"/>
    </xf>
    <xf borderId="10" fillId="17" fontId="5" numFmtId="0" xfId="0" applyAlignment="1" applyBorder="1" applyFont="1">
      <alignment horizontal="center"/>
    </xf>
    <xf borderId="10" fillId="18" fontId="5" numFmtId="0" xfId="0" applyAlignment="1" applyBorder="1" applyFont="1">
      <alignment horizontal="center" shrinkToFit="0" wrapText="1"/>
    </xf>
    <xf borderId="10" fillId="18" fontId="5" numFmtId="0" xfId="0" applyAlignment="1" applyBorder="1" applyFont="1">
      <alignment horizontal="center"/>
    </xf>
    <xf borderId="10" fillId="19" fontId="5" numFmtId="0" xfId="0" applyAlignment="1" applyBorder="1" applyFont="1">
      <alignment horizontal="center" shrinkToFit="0" wrapText="1"/>
    </xf>
    <xf borderId="10" fillId="19" fontId="5" numFmtId="0" xfId="0" applyAlignment="1" applyBorder="1" applyFont="1">
      <alignment horizontal="center"/>
    </xf>
    <xf borderId="10" fillId="10" fontId="5" numFmtId="0" xfId="0" applyAlignment="1" applyBorder="1" applyFont="1">
      <alignment horizontal="center" shrinkToFit="0" wrapText="1"/>
    </xf>
    <xf borderId="10" fillId="10" fontId="5" numFmtId="0" xfId="0" applyAlignment="1" applyBorder="1" applyFont="1">
      <alignment horizontal="center"/>
    </xf>
    <xf borderId="10" fillId="6" fontId="5" numFmtId="0" xfId="0" applyAlignment="1" applyBorder="1" applyFont="1">
      <alignment horizontal="center" shrinkToFit="0" wrapText="1"/>
    </xf>
    <xf borderId="10" fillId="6" fontId="5" numFmtId="0" xfId="0" applyAlignment="1" applyBorder="1" applyFont="1">
      <alignment horizontal="center"/>
    </xf>
    <xf borderId="10" fillId="20" fontId="5" numFmtId="0" xfId="0" applyAlignment="1" applyBorder="1" applyFont="1">
      <alignment horizontal="center" shrinkToFit="0" wrapText="1"/>
    </xf>
    <xf borderId="10" fillId="20" fontId="5" numFmtId="0" xfId="0" applyAlignment="1" applyBorder="1" applyFont="1">
      <alignment horizontal="center"/>
    </xf>
    <xf borderId="10" fillId="12" fontId="7" numFmtId="0" xfId="0" applyAlignment="1" applyBorder="1" applyFont="1">
      <alignment shrinkToFit="0" vertical="bottom" wrapText="1"/>
    </xf>
    <xf borderId="10" fillId="16" fontId="7" numFmtId="0" xfId="0" applyAlignment="1" applyBorder="1" applyFont="1">
      <alignment horizontal="center" vertical="bottom"/>
    </xf>
    <xf borderId="10" fillId="16" fontId="7" numFmtId="2" xfId="0" applyAlignment="1" applyBorder="1" applyFont="1" applyNumberFormat="1">
      <alignment horizontal="center" vertical="bottom"/>
    </xf>
    <xf borderId="10" fillId="8" fontId="7" numFmtId="0" xfId="0" applyAlignment="1" applyBorder="1" applyFont="1">
      <alignment horizontal="center" vertical="bottom"/>
    </xf>
    <xf borderId="10" fillId="17" fontId="7" numFmtId="0" xfId="0" applyAlignment="1" applyBorder="1" applyFont="1">
      <alignment horizontal="center" vertical="bottom"/>
    </xf>
    <xf borderId="10" fillId="18" fontId="7" numFmtId="0" xfId="0" applyAlignment="1" applyBorder="1" applyFont="1">
      <alignment horizontal="center" vertical="bottom"/>
    </xf>
    <xf borderId="10" fillId="18" fontId="7" numFmtId="2" xfId="0" applyAlignment="1" applyBorder="1" applyFont="1" applyNumberFormat="1">
      <alignment horizontal="center"/>
    </xf>
    <xf borderId="10" fillId="18" fontId="7" numFmtId="0" xfId="0" applyAlignment="1" applyBorder="1" applyFont="1">
      <alignment horizontal="center"/>
    </xf>
    <xf borderId="10" fillId="19" fontId="7" numFmtId="0" xfId="0" applyAlignment="1" applyBorder="1" applyFont="1">
      <alignment horizontal="center" vertical="bottom"/>
    </xf>
    <xf borderId="10" fillId="19" fontId="7" numFmtId="2" xfId="0" applyAlignment="1" applyBorder="1" applyFont="1" applyNumberFormat="1">
      <alignment horizontal="center"/>
    </xf>
    <xf borderId="10" fillId="19" fontId="7" numFmtId="0" xfId="0" applyAlignment="1" applyBorder="1" applyFont="1">
      <alignment horizontal="center"/>
    </xf>
    <xf borderId="10" fillId="10" fontId="7" numFmtId="0" xfId="0" applyAlignment="1" applyBorder="1" applyFont="1">
      <alignment horizontal="center" vertical="bottom"/>
    </xf>
    <xf borderId="10" fillId="6" fontId="7" numFmtId="2" xfId="0" applyAlignment="1" applyBorder="1" applyFont="1" applyNumberFormat="1">
      <alignment horizontal="center"/>
    </xf>
    <xf borderId="10" fillId="6" fontId="7" numFmtId="0" xfId="0" applyAlignment="1" applyBorder="1" applyFont="1">
      <alignment horizontal="center"/>
    </xf>
    <xf borderId="10" fillId="20" fontId="7" numFmtId="0" xfId="0" applyAlignment="1" applyBorder="1" applyFont="1">
      <alignment horizontal="center" vertical="bottom"/>
    </xf>
    <xf borderId="10" fillId="20" fontId="7" numFmtId="2" xfId="0" applyAlignment="1" applyBorder="1" applyFont="1" applyNumberFormat="1">
      <alignment horizontal="center"/>
    </xf>
    <xf borderId="10" fillId="20" fontId="7" numFmtId="0" xfId="0" applyAlignment="1" applyBorder="1" applyFont="1">
      <alignment horizontal="center"/>
    </xf>
    <xf borderId="10" fillId="12" fontId="7" numFmtId="0" xfId="0" applyAlignment="1" applyBorder="1" applyFont="1">
      <alignment shrinkToFit="0" vertical="top" wrapText="1"/>
    </xf>
    <xf borderId="13" fillId="3" fontId="7" numFmtId="0" xfId="0" applyAlignment="1" applyBorder="1" applyFont="1">
      <alignment horizontal="center" vertical="bottom"/>
    </xf>
    <xf borderId="13" fillId="3" fontId="8" numFmtId="0" xfId="0" applyAlignment="1" applyBorder="1" applyFont="1">
      <alignment horizontal="center" vertical="bottom"/>
    </xf>
    <xf borderId="33" fillId="5" fontId="7" numFmtId="0" xfId="0" applyAlignment="1" applyBorder="1" applyFont="1">
      <alignment horizontal="center" vertical="bottom"/>
    </xf>
    <xf borderId="10" fillId="21" fontId="7" numFmtId="0" xfId="0" applyAlignment="1" applyBorder="1" applyFill="1" applyFont="1">
      <alignment shrinkToFit="0" vertical="top" wrapText="1"/>
    </xf>
    <xf borderId="10" fillId="0" fontId="7" numFmtId="0" xfId="0" applyAlignment="1" applyBorder="1" applyFont="1">
      <alignment shrinkToFit="0" vertical="top" wrapText="1"/>
    </xf>
    <xf borderId="14" fillId="5" fontId="7" numFmtId="0" xfId="0" applyAlignment="1" applyBorder="1" applyFont="1">
      <alignment horizontal="center" vertical="bottom"/>
    </xf>
    <xf borderId="0" fillId="0" fontId="7" numFmtId="0" xfId="0" applyAlignment="1" applyFont="1">
      <alignment vertical="top"/>
    </xf>
    <xf borderId="5" fillId="3" fontId="7" numFmtId="0" xfId="0" applyAlignment="1" applyBorder="1" applyFont="1">
      <alignment vertical="bottom"/>
    </xf>
    <xf borderId="0" fillId="15" fontId="11" numFmtId="0" xfId="0" applyAlignment="1" applyFont="1">
      <alignment horizontal="center" vertical="bottom"/>
    </xf>
    <xf borderId="10" fillId="15" fontId="11" numFmtId="0" xfId="0" applyAlignment="1" applyBorder="1" applyFont="1">
      <alignment horizontal="center" vertical="bottom"/>
    </xf>
    <xf borderId="0" fillId="15" fontId="11" numFmtId="0" xfId="0" applyAlignment="1" applyFont="1">
      <alignment vertical="bottom"/>
    </xf>
    <xf borderId="10" fillId="19" fontId="11" numFmtId="2" xfId="0" applyAlignment="1" applyBorder="1" applyFont="1" applyNumberFormat="1">
      <alignment horizontal="center" vertical="bottom"/>
    </xf>
    <xf borderId="10" fillId="19" fontId="11" numFmtId="0" xfId="0" applyAlignment="1" applyBorder="1" applyFont="1">
      <alignment horizontal="center" vertical="bottom"/>
    </xf>
    <xf borderId="0" fillId="22" fontId="11" numFmtId="0" xfId="0" applyAlignment="1" applyFill="1" applyFont="1">
      <alignment vertical="bottom"/>
    </xf>
    <xf borderId="10" fillId="19" fontId="11" numFmtId="4" xfId="0" applyAlignment="1" applyBorder="1" applyFont="1" applyNumberFormat="1">
      <alignment horizontal="center" vertical="bottom"/>
    </xf>
    <xf borderId="10" fillId="11" fontId="11" numFmtId="2" xfId="0" applyAlignment="1" applyBorder="1" applyFont="1" applyNumberFormat="1">
      <alignment horizontal="center" vertical="bottom"/>
    </xf>
    <xf borderId="6" fillId="23" fontId="12" numFmtId="0" xfId="0" applyAlignment="1" applyBorder="1" applyFill="1" applyFont="1">
      <alignment horizontal="center" shrinkToFit="0" wrapText="0"/>
    </xf>
    <xf borderId="0" fillId="23" fontId="12" numFmtId="0" xfId="0" applyAlignment="1" applyFont="1">
      <alignment horizontal="center" shrinkToFit="0" wrapText="0"/>
    </xf>
    <xf borderId="0" fillId="0" fontId="13" numFmtId="0" xfId="0" applyAlignment="1" applyFont="1">
      <alignment shrinkToFit="0" vertical="bottom" wrapText="0"/>
    </xf>
    <xf borderId="6" fillId="23" fontId="12" numFmtId="0" xfId="0" applyAlignment="1" applyBorder="1" applyFont="1">
      <alignment horizontal="center" shrinkToFit="0" vertical="bottom" wrapText="0"/>
    </xf>
    <xf borderId="34" fillId="24" fontId="10" numFmtId="0" xfId="0" applyAlignment="1" applyBorder="1" applyFill="1" applyFont="1">
      <alignment horizontal="center" shrinkToFit="0" vertical="bottom" wrapText="0"/>
    </xf>
    <xf borderId="35" fillId="0" fontId="4" numFmtId="0" xfId="0" applyBorder="1" applyFont="1"/>
    <xf borderId="6" fillId="3" fontId="14" numFmtId="0" xfId="0" applyAlignment="1" applyBorder="1" applyFont="1">
      <alignment horizontal="center" shrinkToFit="0" vertical="bottom" wrapText="0"/>
    </xf>
    <xf borderId="6" fillId="3" fontId="13" numFmtId="0" xfId="0" applyAlignment="1" applyBorder="1" applyFont="1">
      <alignment horizontal="center" shrinkToFit="0" vertical="bottom" wrapText="0"/>
    </xf>
    <xf borderId="6" fillId="11" fontId="10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shrinkToFit="0" vertical="bottom" wrapText="0"/>
    </xf>
    <xf borderId="0" fillId="3" fontId="13" numFmtId="0" xfId="0" applyAlignment="1" applyFont="1">
      <alignment shrinkToFit="0" vertical="bottom" wrapText="0"/>
    </xf>
    <xf borderId="0" fillId="3" fontId="10" numFmtId="0" xfId="0" applyAlignment="1" applyFont="1">
      <alignment horizontal="center" shrinkToFit="0" vertical="bottom" wrapText="0"/>
    </xf>
    <xf borderId="0" fillId="3" fontId="1" numFmtId="0" xfId="0" applyAlignment="1" applyFont="1">
      <alignment shrinkToFit="0" vertical="bottom" wrapText="0"/>
    </xf>
    <xf borderId="36" fillId="24" fontId="10" numFmtId="0" xfId="0" applyAlignment="1" applyBorder="1" applyFont="1">
      <alignment horizontal="center" shrinkToFit="0" vertical="bottom" wrapText="0"/>
    </xf>
    <xf borderId="33" fillId="0" fontId="4" numFmtId="0" xfId="0" applyBorder="1" applyFont="1"/>
    <xf borderId="0" fillId="3" fontId="14" numFmtId="0" xfId="0" applyAlignment="1" applyFont="1">
      <alignment horizontal="center" shrinkToFit="0" vertical="bottom" wrapText="0"/>
    </xf>
    <xf borderId="0" fillId="3" fontId="13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30.38"/>
    <col customWidth="1" min="2" max="2" width="4.63"/>
    <col customWidth="1" min="3" max="3" width="14.13"/>
    <col customWidth="1" min="4" max="4" width="3.38"/>
    <col customWidth="1" min="5" max="5" width="2.63"/>
    <col customWidth="1" min="6" max="6" width="12.5"/>
    <col customWidth="1" min="7" max="7" width="12.38"/>
    <col customWidth="1" min="8" max="9" width="3.38"/>
    <col customWidth="1" min="10" max="10" width="8.88"/>
    <col customWidth="1" min="11" max="11" width="12.38"/>
    <col customWidth="1" min="12" max="13" width="3.5"/>
    <col customWidth="1" min="14" max="14" width="8.88"/>
    <col customWidth="1" min="15" max="15" width="12.38"/>
    <col customWidth="1" hidden="1" min="16" max="17" width="3.5"/>
    <col customWidth="1" hidden="1" min="18" max="18" width="8.88"/>
    <col customWidth="1" hidden="1" min="19" max="19" width="12.38"/>
    <col customWidth="1" hidden="1" min="20" max="21" width="3.5"/>
    <col customWidth="1" hidden="1" min="22" max="22" width="9.75"/>
    <col customWidth="1" hidden="1" min="23" max="23" width="12.38"/>
    <col customWidth="1" hidden="1" min="24" max="24" width="3.5"/>
    <col customWidth="1" hidden="1" min="25" max="25" width="2.5"/>
    <col customWidth="1" hidden="1" min="26" max="27" width="12.38"/>
    <col customWidth="1" hidden="1" min="28" max="28" width="4.0"/>
    <col customWidth="1" hidden="1" min="29" max="29" width="3.5"/>
    <col customWidth="1" hidden="1" min="30" max="30" width="8.88"/>
    <col customWidth="1" hidden="1" min="31" max="31" width="12.38"/>
    <col customWidth="1" hidden="1" min="32" max="32" width="4.63"/>
    <col customWidth="1" hidden="1" min="33" max="33" width="3.75"/>
    <col customWidth="1" hidden="1" min="34" max="34" width="9.13"/>
    <col customWidth="1" hidden="1" min="35" max="35" width="13.88"/>
    <col customWidth="1" hidden="1" min="36" max="36" width="5.75"/>
    <col customWidth="1" hidden="1" min="37" max="37" width="5.38"/>
    <col customWidth="1" hidden="1" min="38" max="38" width="9.75"/>
    <col customWidth="1" hidden="1" min="39" max="39" width="12.38"/>
    <col customWidth="1" hidden="1" min="40" max="40" width="5.38"/>
    <col customWidth="1" hidden="1" min="41" max="41" width="5.88"/>
    <col customWidth="1" hidden="1" min="42" max="42" width="10.75"/>
    <col customWidth="1" hidden="1" min="43" max="43" width="12.38"/>
  </cols>
  <sheetData>
    <row r="1" ht="15.75" customHeight="1">
      <c r="A1" s="1"/>
      <c r="B1" s="1"/>
      <c r="C1" s="1"/>
      <c r="D1" s="1"/>
      <c r="E1" s="1"/>
      <c r="F1" s="1"/>
      <c r="G1" s="1"/>
      <c r="H1" s="2"/>
      <c r="I1" s="1"/>
      <c r="J1" s="2"/>
      <c r="K1" s="1"/>
      <c r="L1" s="3"/>
      <c r="M1" s="4"/>
      <c r="N1" s="3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15.75" customHeight="1">
      <c r="A2" s="5" t="s">
        <v>0</v>
      </c>
      <c r="B2" s="6"/>
      <c r="C2" s="6"/>
      <c r="D2" s="7"/>
      <c r="E2" s="7"/>
      <c r="F2" s="7"/>
      <c r="G2" s="7"/>
      <c r="H2" s="8"/>
      <c r="I2" s="7"/>
      <c r="J2" s="8"/>
      <c r="K2" s="7"/>
      <c r="L2" s="9"/>
      <c r="M2" s="10"/>
      <c r="N2" s="9"/>
      <c r="O2" s="9"/>
      <c r="P2" s="11"/>
      <c r="Q2" s="11"/>
      <c r="R2" s="11"/>
      <c r="S2" s="11"/>
      <c r="T2" s="11"/>
      <c r="U2" s="11"/>
      <c r="V2" s="11"/>
      <c r="W2" s="11"/>
      <c r="X2" s="12"/>
      <c r="Y2" s="12"/>
      <c r="Z2" s="12"/>
      <c r="AA2" s="12"/>
      <c r="AB2" s="11"/>
      <c r="AC2" s="11"/>
      <c r="AD2" s="11"/>
      <c r="AE2" s="11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r="3" ht="15.75" customHeight="1">
      <c r="A3" s="14"/>
      <c r="B3" s="15"/>
      <c r="C3" s="16"/>
      <c r="D3" s="17" t="s">
        <v>1</v>
      </c>
      <c r="E3" s="18"/>
      <c r="F3" s="18"/>
      <c r="G3" s="15"/>
      <c r="H3" s="19" t="s">
        <v>2</v>
      </c>
      <c r="I3" s="18"/>
      <c r="J3" s="18"/>
      <c r="K3" s="15"/>
      <c r="L3" s="20" t="s">
        <v>3</v>
      </c>
      <c r="M3" s="18"/>
      <c r="N3" s="18"/>
      <c r="O3" s="15"/>
      <c r="P3" s="21" t="s">
        <v>4</v>
      </c>
      <c r="Q3" s="18"/>
      <c r="R3" s="18"/>
      <c r="S3" s="15"/>
      <c r="T3" s="22" t="s">
        <v>5</v>
      </c>
      <c r="U3" s="18"/>
      <c r="V3" s="18"/>
      <c r="W3" s="15"/>
      <c r="X3" s="23" t="s">
        <v>6</v>
      </c>
      <c r="Y3" s="18"/>
      <c r="Z3" s="18"/>
      <c r="AA3" s="15"/>
      <c r="AB3" s="24" t="s">
        <v>7</v>
      </c>
      <c r="AC3" s="18"/>
      <c r="AD3" s="18"/>
      <c r="AE3" s="15"/>
      <c r="AF3" s="25" t="s">
        <v>8</v>
      </c>
      <c r="AG3" s="18"/>
      <c r="AH3" s="18"/>
      <c r="AI3" s="15"/>
      <c r="AJ3" s="26" t="s">
        <v>9</v>
      </c>
      <c r="AK3" s="18"/>
      <c r="AL3" s="18"/>
      <c r="AM3" s="15"/>
      <c r="AN3" s="19" t="s">
        <v>10</v>
      </c>
      <c r="AO3" s="18"/>
      <c r="AP3" s="18"/>
      <c r="AQ3" s="15"/>
    </row>
    <row r="4" ht="15.75" customHeight="1">
      <c r="A4" s="27" t="s">
        <v>11</v>
      </c>
      <c r="B4" s="28" t="s">
        <v>12</v>
      </c>
      <c r="C4" s="28" t="s">
        <v>13</v>
      </c>
      <c r="D4" s="29" t="s">
        <v>14</v>
      </c>
      <c r="E4" s="30" t="s">
        <v>15</v>
      </c>
      <c r="F4" s="30" t="s">
        <v>16</v>
      </c>
      <c r="G4" s="30" t="s">
        <v>17</v>
      </c>
      <c r="H4" s="31" t="s">
        <v>14</v>
      </c>
      <c r="I4" s="32" t="s">
        <v>15</v>
      </c>
      <c r="J4" s="32" t="s">
        <v>16</v>
      </c>
      <c r="K4" s="32" t="s">
        <v>17</v>
      </c>
      <c r="L4" s="33" t="s">
        <v>14</v>
      </c>
      <c r="M4" s="34" t="s">
        <v>15</v>
      </c>
      <c r="N4" s="34" t="s">
        <v>16</v>
      </c>
      <c r="O4" s="34" t="s">
        <v>17</v>
      </c>
      <c r="P4" s="35" t="s">
        <v>14</v>
      </c>
      <c r="Q4" s="36" t="s">
        <v>15</v>
      </c>
      <c r="R4" s="36" t="s">
        <v>16</v>
      </c>
      <c r="S4" s="36" t="s">
        <v>17</v>
      </c>
      <c r="T4" s="37" t="s">
        <v>14</v>
      </c>
      <c r="U4" s="38" t="s">
        <v>15</v>
      </c>
      <c r="V4" s="38" t="s">
        <v>16</v>
      </c>
      <c r="W4" s="38" t="s">
        <v>17</v>
      </c>
      <c r="X4" s="39" t="s">
        <v>14</v>
      </c>
      <c r="Y4" s="40" t="s">
        <v>15</v>
      </c>
      <c r="Z4" s="41" t="s">
        <v>16</v>
      </c>
      <c r="AA4" s="41" t="s">
        <v>17</v>
      </c>
      <c r="AB4" s="42" t="s">
        <v>14</v>
      </c>
      <c r="AC4" s="43" t="s">
        <v>15</v>
      </c>
      <c r="AD4" s="44" t="s">
        <v>16</v>
      </c>
      <c r="AE4" s="44" t="s">
        <v>17</v>
      </c>
      <c r="AF4" s="45" t="s">
        <v>14</v>
      </c>
      <c r="AG4" s="45" t="s">
        <v>15</v>
      </c>
      <c r="AH4" s="45" t="s">
        <v>16</v>
      </c>
      <c r="AI4" s="45" t="s">
        <v>17</v>
      </c>
      <c r="AJ4" s="46" t="s">
        <v>14</v>
      </c>
      <c r="AK4" s="46" t="s">
        <v>15</v>
      </c>
      <c r="AL4" s="46" t="s">
        <v>16</v>
      </c>
      <c r="AM4" s="46" t="s">
        <v>17</v>
      </c>
      <c r="AN4" s="47" t="s">
        <v>14</v>
      </c>
      <c r="AO4" s="48" t="s">
        <v>15</v>
      </c>
      <c r="AP4" s="49" t="s">
        <v>16</v>
      </c>
      <c r="AQ4" s="49" t="s">
        <v>17</v>
      </c>
    </row>
    <row r="5" ht="15.75" customHeight="1">
      <c r="A5" s="50" t="s">
        <v>18</v>
      </c>
      <c r="B5" s="51">
        <v>18.0</v>
      </c>
      <c r="C5" s="52">
        <v>3505.0</v>
      </c>
      <c r="D5" s="53">
        <v>5.0</v>
      </c>
      <c r="E5" s="54">
        <v>20.0</v>
      </c>
      <c r="F5" s="55">
        <f t="shared" ref="F5:F8" si="1">D5*E5*C5/1000</f>
        <v>350.5</v>
      </c>
      <c r="G5" s="54" t="s">
        <v>19</v>
      </c>
      <c r="H5" s="56">
        <v>5.0</v>
      </c>
      <c r="I5" s="56">
        <v>20.0</v>
      </c>
      <c r="J5" s="56">
        <f t="shared" ref="J5:J8" si="2">H5*I5*C5/1000</f>
        <v>350.5</v>
      </c>
      <c r="K5" s="56" t="s">
        <v>20</v>
      </c>
      <c r="L5" s="57">
        <v>55.0</v>
      </c>
      <c r="M5" s="58">
        <v>1.0</v>
      </c>
      <c r="N5" s="59">
        <f t="shared" ref="N5:N8" si="3">L5*M5*C5/1000</f>
        <v>192.775</v>
      </c>
      <c r="O5" s="60" t="s">
        <v>19</v>
      </c>
      <c r="P5" s="61">
        <v>40.0</v>
      </c>
      <c r="Q5" s="61"/>
      <c r="R5" s="61">
        <f t="shared" ref="R5:R8" si="4">P5*Q5*C5/1000</f>
        <v>0</v>
      </c>
      <c r="S5" s="61" t="s">
        <v>19</v>
      </c>
      <c r="T5" s="62">
        <v>45.0</v>
      </c>
      <c r="U5" s="63">
        <v>1.0</v>
      </c>
      <c r="V5" s="64">
        <f t="shared" ref="V5:V8" si="5">T5*U5*C5/1000</f>
        <v>157.725</v>
      </c>
      <c r="W5" s="65" t="s">
        <v>19</v>
      </c>
      <c r="X5" s="66">
        <v>45.0</v>
      </c>
      <c r="Y5" s="67">
        <v>1.0</v>
      </c>
      <c r="Z5" s="68">
        <f t="shared" ref="Z5:Z8" si="6">X5*Y5*C5/1000</f>
        <v>157.725</v>
      </c>
      <c r="AA5" s="69" t="s">
        <v>19</v>
      </c>
      <c r="AB5" s="70">
        <v>220.0</v>
      </c>
      <c r="AC5" s="70">
        <v>1.0</v>
      </c>
      <c r="AD5" s="71">
        <f t="shared" ref="AD5:AD8" si="7">AB5*AC5*C5/1000</f>
        <v>771.1</v>
      </c>
      <c r="AE5" s="72" t="s">
        <v>19</v>
      </c>
      <c r="AF5" s="73"/>
      <c r="AG5" s="73"/>
      <c r="AH5" s="73"/>
      <c r="AI5" s="73" t="s">
        <v>19</v>
      </c>
      <c r="AJ5" s="74"/>
      <c r="AK5" s="74"/>
      <c r="AL5" s="74"/>
      <c r="AM5" s="75" t="s">
        <v>19</v>
      </c>
      <c r="AN5" s="76"/>
      <c r="AO5" s="76"/>
      <c r="AP5" s="76"/>
      <c r="AQ5" s="76" t="s">
        <v>19</v>
      </c>
    </row>
    <row r="6" ht="15.75" customHeight="1">
      <c r="A6" s="77" t="s">
        <v>21</v>
      </c>
      <c r="B6" s="78">
        <v>11.0</v>
      </c>
      <c r="C6" s="79">
        <v>11627.0</v>
      </c>
      <c r="D6" s="53">
        <v>5.0</v>
      </c>
      <c r="E6" s="80"/>
      <c r="F6" s="55">
        <f t="shared" si="1"/>
        <v>0</v>
      </c>
      <c r="G6" s="54" t="s">
        <v>19</v>
      </c>
      <c r="H6" s="76">
        <v>5.0</v>
      </c>
      <c r="I6" s="76">
        <v>10.0</v>
      </c>
      <c r="J6" s="56">
        <f t="shared" si="2"/>
        <v>581.35</v>
      </c>
      <c r="K6" s="56" t="s">
        <v>20</v>
      </c>
      <c r="L6" s="57">
        <v>60.0</v>
      </c>
      <c r="M6" s="58">
        <v>1.0</v>
      </c>
      <c r="N6" s="59">
        <f t="shared" si="3"/>
        <v>697.62</v>
      </c>
      <c r="O6" s="60" t="s">
        <v>19</v>
      </c>
      <c r="P6" s="61">
        <v>45.0</v>
      </c>
      <c r="Q6" s="61">
        <v>1.0</v>
      </c>
      <c r="R6" s="61">
        <f t="shared" si="4"/>
        <v>523.215</v>
      </c>
      <c r="S6" s="61" t="s">
        <v>19</v>
      </c>
      <c r="T6" s="62">
        <v>45.0</v>
      </c>
      <c r="U6" s="63"/>
      <c r="V6" s="64">
        <f t="shared" si="5"/>
        <v>0</v>
      </c>
      <c r="W6" s="65" t="s">
        <v>19</v>
      </c>
      <c r="X6" s="66">
        <v>45.0</v>
      </c>
      <c r="Y6" s="67"/>
      <c r="Z6" s="68">
        <f t="shared" si="6"/>
        <v>0</v>
      </c>
      <c r="AA6" s="69" t="s">
        <v>19</v>
      </c>
      <c r="AB6" s="70">
        <v>220.0</v>
      </c>
      <c r="AC6" s="70"/>
      <c r="AD6" s="71">
        <f t="shared" si="7"/>
        <v>0</v>
      </c>
      <c r="AE6" s="72" t="s">
        <v>19</v>
      </c>
      <c r="AF6" s="73"/>
      <c r="AG6" s="73"/>
      <c r="AH6" s="73"/>
      <c r="AI6" s="73" t="s">
        <v>19</v>
      </c>
      <c r="AJ6" s="74"/>
      <c r="AK6" s="74"/>
      <c r="AL6" s="74"/>
      <c r="AM6" s="75" t="s">
        <v>19</v>
      </c>
      <c r="AN6" s="76"/>
      <c r="AO6" s="76"/>
      <c r="AP6" s="76"/>
      <c r="AQ6" s="76" t="s">
        <v>19</v>
      </c>
    </row>
    <row r="7" ht="15.75" customHeight="1">
      <c r="A7" s="81" t="s">
        <v>22</v>
      </c>
      <c r="B7" s="78">
        <v>1.0</v>
      </c>
      <c r="C7" s="79">
        <v>250.0</v>
      </c>
      <c r="D7" s="53">
        <v>5.0</v>
      </c>
      <c r="E7" s="80">
        <v>10.0</v>
      </c>
      <c r="F7" s="55">
        <f t="shared" si="1"/>
        <v>12.5</v>
      </c>
      <c r="G7" s="54" t="s">
        <v>19</v>
      </c>
      <c r="H7" s="76">
        <v>5.0</v>
      </c>
      <c r="I7" s="76">
        <v>10.0</v>
      </c>
      <c r="J7" s="56">
        <f t="shared" si="2"/>
        <v>12.5</v>
      </c>
      <c r="K7" s="56" t="s">
        <v>20</v>
      </c>
      <c r="L7" s="57">
        <v>55.0</v>
      </c>
      <c r="M7" s="58">
        <v>1.0</v>
      </c>
      <c r="N7" s="59">
        <f t="shared" si="3"/>
        <v>13.75</v>
      </c>
      <c r="O7" s="60" t="s">
        <v>19</v>
      </c>
      <c r="P7" s="61">
        <v>40.0</v>
      </c>
      <c r="Q7" s="61"/>
      <c r="R7" s="61">
        <f t="shared" si="4"/>
        <v>0</v>
      </c>
      <c r="S7" s="61" t="s">
        <v>19</v>
      </c>
      <c r="T7" s="62">
        <v>45.0</v>
      </c>
      <c r="U7" s="63">
        <v>1.0</v>
      </c>
      <c r="V7" s="64">
        <f t="shared" si="5"/>
        <v>11.25</v>
      </c>
      <c r="W7" s="65" t="s">
        <v>19</v>
      </c>
      <c r="X7" s="66">
        <v>45.0</v>
      </c>
      <c r="Y7" s="67">
        <v>1.0</v>
      </c>
      <c r="Z7" s="68">
        <f t="shared" si="6"/>
        <v>11.25</v>
      </c>
      <c r="AA7" s="69" t="s">
        <v>19</v>
      </c>
      <c r="AB7" s="70">
        <v>220.0</v>
      </c>
      <c r="AC7" s="70">
        <v>1.0</v>
      </c>
      <c r="AD7" s="71">
        <f t="shared" si="7"/>
        <v>55</v>
      </c>
      <c r="AE7" s="72" t="s">
        <v>19</v>
      </c>
      <c r="AF7" s="73"/>
      <c r="AG7" s="73"/>
      <c r="AH7" s="73"/>
      <c r="AI7" s="73" t="s">
        <v>19</v>
      </c>
      <c r="AJ7" s="74"/>
      <c r="AK7" s="74"/>
      <c r="AL7" s="74"/>
      <c r="AM7" s="75" t="s">
        <v>19</v>
      </c>
      <c r="AN7" s="76"/>
      <c r="AO7" s="76"/>
      <c r="AP7" s="76"/>
      <c r="AQ7" s="76" t="s">
        <v>19</v>
      </c>
    </row>
    <row r="8" ht="15.75" customHeight="1">
      <c r="A8" s="77" t="s">
        <v>23</v>
      </c>
      <c r="B8" s="78">
        <v>4.0</v>
      </c>
      <c r="C8" s="79">
        <v>746.0</v>
      </c>
      <c r="D8" s="53">
        <v>5.0</v>
      </c>
      <c r="E8" s="80">
        <v>10.0</v>
      </c>
      <c r="F8" s="55">
        <f t="shared" si="1"/>
        <v>37.3</v>
      </c>
      <c r="G8" s="54" t="s">
        <v>19</v>
      </c>
      <c r="H8" s="76">
        <v>5.0</v>
      </c>
      <c r="I8" s="76">
        <v>10.0</v>
      </c>
      <c r="J8" s="56">
        <f t="shared" si="2"/>
        <v>37.3</v>
      </c>
      <c r="K8" s="56" t="s">
        <v>20</v>
      </c>
      <c r="L8" s="57">
        <v>60.0</v>
      </c>
      <c r="M8" s="82">
        <v>1.0</v>
      </c>
      <c r="N8" s="59">
        <f t="shared" si="3"/>
        <v>44.76</v>
      </c>
      <c r="O8" s="60" t="s">
        <v>19</v>
      </c>
      <c r="P8" s="61">
        <v>45.0</v>
      </c>
      <c r="Q8" s="61">
        <v>1.0</v>
      </c>
      <c r="R8" s="61">
        <f t="shared" si="4"/>
        <v>33.57</v>
      </c>
      <c r="S8" s="61" t="s">
        <v>19</v>
      </c>
      <c r="T8" s="62">
        <v>45.0</v>
      </c>
      <c r="U8" s="63"/>
      <c r="V8" s="64">
        <f t="shared" si="5"/>
        <v>0</v>
      </c>
      <c r="W8" s="65" t="s">
        <v>19</v>
      </c>
      <c r="X8" s="66">
        <v>45.0</v>
      </c>
      <c r="Y8" s="67"/>
      <c r="Z8" s="68">
        <f t="shared" si="6"/>
        <v>0</v>
      </c>
      <c r="AA8" s="69" t="s">
        <v>19</v>
      </c>
      <c r="AB8" s="70">
        <v>220.0</v>
      </c>
      <c r="AC8" s="70"/>
      <c r="AD8" s="71">
        <f t="shared" si="7"/>
        <v>0</v>
      </c>
      <c r="AE8" s="72" t="s">
        <v>19</v>
      </c>
      <c r="AF8" s="73"/>
      <c r="AG8" s="73"/>
      <c r="AH8" s="73"/>
      <c r="AI8" s="73" t="s">
        <v>19</v>
      </c>
      <c r="AJ8" s="74"/>
      <c r="AK8" s="74"/>
      <c r="AL8" s="74"/>
      <c r="AM8" s="75" t="s">
        <v>19</v>
      </c>
      <c r="AN8" s="76"/>
      <c r="AO8" s="76"/>
      <c r="AP8" s="76"/>
      <c r="AQ8" s="76" t="s">
        <v>19</v>
      </c>
    </row>
    <row r="9" ht="15.75" customHeight="1">
      <c r="A9" s="83" t="s">
        <v>24</v>
      </c>
      <c r="B9" s="84">
        <f t="shared" ref="B9:C9" si="8">SUM(B5:B8)</f>
        <v>34</v>
      </c>
      <c r="C9" s="84">
        <f t="shared" si="8"/>
        <v>16128</v>
      </c>
      <c r="D9" s="85"/>
      <c r="E9" s="85"/>
      <c r="F9" s="86">
        <f>SUM(F5:F8)</f>
        <v>400.3</v>
      </c>
      <c r="G9" s="85"/>
      <c r="H9" s="87"/>
      <c r="I9" s="88"/>
      <c r="J9" s="28">
        <f>SUM(J5+J6+J7+J8)</f>
        <v>981.65</v>
      </c>
      <c r="K9" s="88"/>
      <c r="L9" s="89"/>
      <c r="M9" s="90"/>
      <c r="N9" s="86">
        <f>SUM(N5:N8)</f>
        <v>948.905</v>
      </c>
      <c r="O9" s="91"/>
      <c r="P9" s="92"/>
      <c r="Q9" s="92"/>
      <c r="R9" s="93">
        <f>SUM(R5+R6+R7+R8)</f>
        <v>556.785</v>
      </c>
      <c r="S9" s="92"/>
      <c r="T9" s="94"/>
      <c r="U9" s="94"/>
      <c r="V9" s="86">
        <f>SUM(V5:V8)</f>
        <v>168.975</v>
      </c>
      <c r="W9" s="94"/>
      <c r="X9" s="95"/>
      <c r="Y9" s="95"/>
      <c r="Z9" s="96">
        <f>SUM(Z5:Z8)</f>
        <v>168.975</v>
      </c>
      <c r="AA9" s="97"/>
      <c r="AB9" s="98"/>
      <c r="AC9" s="98"/>
      <c r="AD9" s="99">
        <f>AD5+AD6+AD7+AD8</f>
        <v>826.1</v>
      </c>
      <c r="AE9" s="98"/>
      <c r="AF9" s="100"/>
      <c r="AG9" s="100"/>
      <c r="AH9" s="101"/>
      <c r="AI9" s="100"/>
      <c r="AJ9" s="102"/>
      <c r="AK9" s="102"/>
      <c r="AL9" s="101"/>
      <c r="AM9" s="75"/>
      <c r="AN9" s="76"/>
      <c r="AO9" s="76"/>
      <c r="AP9" s="103"/>
      <c r="AQ9" s="76"/>
    </row>
    <row r="10" ht="15.75" customHeight="1">
      <c r="A10" s="104"/>
      <c r="B10" s="105"/>
      <c r="C10" s="105"/>
      <c r="D10" s="105"/>
      <c r="E10" s="105"/>
      <c r="F10" s="105"/>
      <c r="G10" s="105"/>
      <c r="H10" s="106"/>
      <c r="I10" s="105"/>
      <c r="J10" s="106"/>
      <c r="K10" s="105"/>
      <c r="L10" s="107"/>
      <c r="M10" s="108"/>
      <c r="N10" s="107"/>
      <c r="O10" s="107"/>
      <c r="P10" s="105"/>
      <c r="Q10" s="105"/>
      <c r="R10" s="105"/>
      <c r="S10" s="105"/>
      <c r="T10" s="105"/>
      <c r="U10" s="105"/>
      <c r="V10" s="105"/>
      <c r="W10" s="105"/>
      <c r="X10" s="109"/>
      <c r="Y10" s="109"/>
      <c r="Z10" s="105"/>
      <c r="AA10" s="105"/>
      <c r="AB10" s="110"/>
      <c r="AC10" s="110"/>
      <c r="AD10" s="105"/>
      <c r="AE10" s="111"/>
      <c r="AF10" s="112"/>
      <c r="AG10" s="112"/>
      <c r="AH10" s="112"/>
      <c r="AI10" s="112"/>
      <c r="AJ10" s="113"/>
      <c r="AK10" s="113"/>
      <c r="AL10" s="113"/>
      <c r="AM10" s="113"/>
      <c r="AN10" s="113"/>
      <c r="AO10" s="113"/>
      <c r="AP10" s="113"/>
      <c r="AQ10" s="113"/>
    </row>
    <row r="11" ht="15.75" customHeight="1">
      <c r="A11" s="114" t="s">
        <v>25</v>
      </c>
      <c r="B11" s="18"/>
      <c r="C11" s="18"/>
      <c r="D11" s="115"/>
      <c r="E11" s="115"/>
      <c r="F11" s="115"/>
      <c r="G11" s="115"/>
      <c r="H11" s="116"/>
      <c r="I11" s="115"/>
      <c r="J11" s="116"/>
      <c r="K11" s="115"/>
      <c r="L11" s="117"/>
      <c r="M11" s="118"/>
      <c r="N11" s="117"/>
      <c r="O11" s="117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9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</row>
    <row r="12" ht="15.75" customHeight="1">
      <c r="A12" s="120"/>
      <c r="B12" s="121"/>
      <c r="C12" s="122"/>
      <c r="D12" s="17" t="s">
        <v>1</v>
      </c>
      <c r="E12" s="18"/>
      <c r="F12" s="18"/>
      <c r="G12" s="15"/>
      <c r="H12" s="19" t="s">
        <v>2</v>
      </c>
      <c r="I12" s="18"/>
      <c r="J12" s="18"/>
      <c r="K12" s="15"/>
      <c r="L12" s="123" t="s">
        <v>3</v>
      </c>
      <c r="M12" s="6"/>
      <c r="N12" s="6"/>
      <c r="O12" s="6"/>
      <c r="P12" s="21" t="s">
        <v>4</v>
      </c>
      <c r="Q12" s="18"/>
      <c r="R12" s="18"/>
      <c r="S12" s="15"/>
      <c r="T12" s="22" t="s">
        <v>5</v>
      </c>
      <c r="U12" s="18"/>
      <c r="V12" s="18"/>
      <c r="W12" s="15"/>
      <c r="X12" s="23" t="s">
        <v>6</v>
      </c>
      <c r="Y12" s="18"/>
      <c r="Z12" s="18"/>
      <c r="AA12" s="15"/>
      <c r="AB12" s="24" t="s">
        <v>7</v>
      </c>
      <c r="AC12" s="18"/>
      <c r="AD12" s="18"/>
      <c r="AE12" s="15"/>
      <c r="AF12" s="25" t="s">
        <v>8</v>
      </c>
      <c r="AG12" s="18"/>
      <c r="AH12" s="18"/>
      <c r="AI12" s="15"/>
      <c r="AJ12" s="26" t="s">
        <v>9</v>
      </c>
      <c r="AK12" s="18"/>
      <c r="AL12" s="18"/>
      <c r="AM12" s="15"/>
      <c r="AN12" s="19" t="s">
        <v>10</v>
      </c>
      <c r="AO12" s="18"/>
      <c r="AP12" s="18"/>
      <c r="AQ12" s="15"/>
    </row>
    <row r="13" ht="15.75" customHeight="1">
      <c r="A13" s="27" t="s">
        <v>11</v>
      </c>
      <c r="B13" s="28" t="s">
        <v>12</v>
      </c>
      <c r="C13" s="28" t="s">
        <v>13</v>
      </c>
      <c r="D13" s="29" t="s">
        <v>14</v>
      </c>
      <c r="E13" s="30" t="s">
        <v>15</v>
      </c>
      <c r="F13" s="30" t="s">
        <v>16</v>
      </c>
      <c r="G13" s="30" t="s">
        <v>17</v>
      </c>
      <c r="H13" s="31" t="s">
        <v>14</v>
      </c>
      <c r="I13" s="32" t="s">
        <v>15</v>
      </c>
      <c r="J13" s="32" t="s">
        <v>16</v>
      </c>
      <c r="K13" s="32" t="s">
        <v>17</v>
      </c>
      <c r="L13" s="33" t="s">
        <v>14</v>
      </c>
      <c r="M13" s="34" t="s">
        <v>15</v>
      </c>
      <c r="N13" s="34" t="s">
        <v>16</v>
      </c>
      <c r="O13" s="124" t="s">
        <v>17</v>
      </c>
      <c r="P13" s="35" t="s">
        <v>14</v>
      </c>
      <c r="Q13" s="36" t="s">
        <v>15</v>
      </c>
      <c r="R13" s="36" t="s">
        <v>16</v>
      </c>
      <c r="S13" s="36" t="s">
        <v>17</v>
      </c>
      <c r="T13" s="37" t="s">
        <v>14</v>
      </c>
      <c r="U13" s="38" t="s">
        <v>15</v>
      </c>
      <c r="V13" s="38" t="s">
        <v>26</v>
      </c>
      <c r="W13" s="38" t="s">
        <v>17</v>
      </c>
      <c r="X13" s="125" t="s">
        <v>14</v>
      </c>
      <c r="Y13" s="126" t="s">
        <v>15</v>
      </c>
      <c r="Z13" s="127" t="s">
        <v>16</v>
      </c>
      <c r="AA13" s="41" t="s">
        <v>17</v>
      </c>
      <c r="AB13" s="42" t="s">
        <v>14</v>
      </c>
      <c r="AC13" s="43" t="s">
        <v>15</v>
      </c>
      <c r="AD13" s="44" t="s">
        <v>16</v>
      </c>
      <c r="AE13" s="44" t="s">
        <v>17</v>
      </c>
      <c r="AF13" s="45" t="s">
        <v>14</v>
      </c>
      <c r="AG13" s="45" t="s">
        <v>15</v>
      </c>
      <c r="AH13" s="45" t="s">
        <v>16</v>
      </c>
      <c r="AI13" s="45" t="s">
        <v>17</v>
      </c>
      <c r="AJ13" s="46" t="s">
        <v>14</v>
      </c>
      <c r="AK13" s="46" t="s">
        <v>15</v>
      </c>
      <c r="AL13" s="46" t="s">
        <v>16</v>
      </c>
      <c r="AM13" s="46" t="s">
        <v>17</v>
      </c>
      <c r="AN13" s="47" t="s">
        <v>14</v>
      </c>
      <c r="AO13" s="48" t="s">
        <v>15</v>
      </c>
      <c r="AP13" s="49" t="s">
        <v>16</v>
      </c>
      <c r="AQ13" s="49" t="s">
        <v>17</v>
      </c>
    </row>
    <row r="14" ht="15.75" customHeight="1">
      <c r="A14" s="50" t="s">
        <v>18</v>
      </c>
      <c r="B14" s="78">
        <v>9.0</v>
      </c>
      <c r="C14" s="79">
        <v>2038.0</v>
      </c>
      <c r="D14" s="53">
        <v>5.0</v>
      </c>
      <c r="E14" s="54">
        <v>20.0</v>
      </c>
      <c r="F14" s="55">
        <f t="shared" ref="F14:F17" si="9">D14*E14*C14/1000</f>
        <v>203.8</v>
      </c>
      <c r="G14" s="54" t="s">
        <v>19</v>
      </c>
      <c r="H14" s="56">
        <v>5.0</v>
      </c>
      <c r="I14" s="56">
        <v>20.0</v>
      </c>
      <c r="J14" s="56">
        <f t="shared" ref="J14:J17" si="10">H14*I14*C14/1000</f>
        <v>203.8</v>
      </c>
      <c r="K14" s="56" t="s">
        <v>20</v>
      </c>
      <c r="L14" s="128">
        <v>55.0</v>
      </c>
      <c r="M14" s="58">
        <v>1.0</v>
      </c>
      <c r="N14" s="59">
        <f t="shared" ref="N14:N17" si="11">L14*M14*C14/1000</f>
        <v>112.09</v>
      </c>
      <c r="O14" s="60" t="s">
        <v>19</v>
      </c>
      <c r="P14" s="61">
        <v>40.0</v>
      </c>
      <c r="Q14" s="61"/>
      <c r="R14" s="61">
        <f t="shared" ref="R14:R17" si="12">P14*Q14*C14/1000</f>
        <v>0</v>
      </c>
      <c r="S14" s="61" t="s">
        <v>19</v>
      </c>
      <c r="T14" s="62">
        <v>45.0</v>
      </c>
      <c r="U14" s="63">
        <v>1.0</v>
      </c>
      <c r="V14" s="64">
        <f t="shared" ref="V14:V17" si="13">T14*U14*C14/1000</f>
        <v>91.71</v>
      </c>
      <c r="W14" s="65" t="s">
        <v>19</v>
      </c>
      <c r="X14" s="66">
        <v>45.0</v>
      </c>
      <c r="Y14" s="67">
        <v>1.0</v>
      </c>
      <c r="Z14" s="68">
        <f t="shared" ref="Z14:Z17" si="14">X14*Y14*C14/1000</f>
        <v>91.71</v>
      </c>
      <c r="AA14" s="69" t="s">
        <v>19</v>
      </c>
      <c r="AB14" s="70">
        <v>220.0</v>
      </c>
      <c r="AC14" s="70">
        <v>1.0</v>
      </c>
      <c r="AD14" s="71">
        <f t="shared" ref="AD14:AD17" si="15">AB14*AC14*C14/1000</f>
        <v>448.36</v>
      </c>
      <c r="AE14" s="72" t="s">
        <v>19</v>
      </c>
      <c r="AF14" s="73"/>
      <c r="AG14" s="73"/>
      <c r="AH14" s="73"/>
      <c r="AI14" s="73" t="s">
        <v>19</v>
      </c>
      <c r="AJ14" s="74"/>
      <c r="AK14" s="74"/>
      <c r="AL14" s="74"/>
      <c r="AM14" s="75" t="s">
        <v>19</v>
      </c>
      <c r="AN14" s="76"/>
      <c r="AO14" s="76"/>
      <c r="AP14" s="76"/>
      <c r="AQ14" s="76" t="s">
        <v>19</v>
      </c>
    </row>
    <row r="15" ht="15.75" customHeight="1">
      <c r="A15" s="77" t="s">
        <v>27</v>
      </c>
      <c r="B15" s="78">
        <v>7.0</v>
      </c>
      <c r="C15" s="79">
        <v>7489.0</v>
      </c>
      <c r="D15" s="53">
        <v>5.0</v>
      </c>
      <c r="E15" s="80"/>
      <c r="F15" s="55">
        <f t="shared" si="9"/>
        <v>0</v>
      </c>
      <c r="G15" s="54" t="s">
        <v>19</v>
      </c>
      <c r="H15" s="76">
        <v>5.0</v>
      </c>
      <c r="I15" s="76">
        <v>5.0</v>
      </c>
      <c r="J15" s="56">
        <f t="shared" si="10"/>
        <v>187.225</v>
      </c>
      <c r="K15" s="56" t="s">
        <v>20</v>
      </c>
      <c r="L15" s="128">
        <v>60.0</v>
      </c>
      <c r="M15" s="58">
        <v>1.0</v>
      </c>
      <c r="N15" s="59">
        <f t="shared" si="11"/>
        <v>449.34</v>
      </c>
      <c r="O15" s="60" t="s">
        <v>19</v>
      </c>
      <c r="P15" s="61">
        <v>45.0</v>
      </c>
      <c r="Q15" s="61">
        <v>1.0</v>
      </c>
      <c r="R15" s="61">
        <f t="shared" si="12"/>
        <v>337.005</v>
      </c>
      <c r="S15" s="61" t="s">
        <v>19</v>
      </c>
      <c r="T15" s="62">
        <v>45.0</v>
      </c>
      <c r="U15" s="63"/>
      <c r="V15" s="64">
        <f t="shared" si="13"/>
        <v>0</v>
      </c>
      <c r="W15" s="65" t="s">
        <v>19</v>
      </c>
      <c r="X15" s="66">
        <v>45.0</v>
      </c>
      <c r="Y15" s="67"/>
      <c r="Z15" s="68">
        <f t="shared" si="14"/>
        <v>0</v>
      </c>
      <c r="AA15" s="69" t="s">
        <v>19</v>
      </c>
      <c r="AB15" s="70">
        <v>220.0</v>
      </c>
      <c r="AC15" s="70"/>
      <c r="AD15" s="71">
        <f t="shared" si="15"/>
        <v>0</v>
      </c>
      <c r="AE15" s="72" t="s">
        <v>19</v>
      </c>
      <c r="AF15" s="73"/>
      <c r="AG15" s="73"/>
      <c r="AH15" s="73"/>
      <c r="AI15" s="73" t="s">
        <v>19</v>
      </c>
      <c r="AJ15" s="74"/>
      <c r="AK15" s="74"/>
      <c r="AL15" s="74"/>
      <c r="AM15" s="75" t="s">
        <v>19</v>
      </c>
      <c r="AN15" s="76"/>
      <c r="AO15" s="76"/>
      <c r="AP15" s="76"/>
      <c r="AQ15" s="76" t="s">
        <v>19</v>
      </c>
    </row>
    <row r="16" ht="15.75" customHeight="1">
      <c r="A16" s="77" t="s">
        <v>28</v>
      </c>
      <c r="B16" s="78">
        <v>1.0</v>
      </c>
      <c r="C16" s="79">
        <v>890.0</v>
      </c>
      <c r="D16" s="53">
        <v>5.0</v>
      </c>
      <c r="E16" s="80">
        <v>10.0</v>
      </c>
      <c r="F16" s="55">
        <f t="shared" si="9"/>
        <v>44.5</v>
      </c>
      <c r="G16" s="54" t="s">
        <v>19</v>
      </c>
      <c r="H16" s="76">
        <v>5.0</v>
      </c>
      <c r="I16" s="76">
        <v>10.0</v>
      </c>
      <c r="J16" s="56">
        <f t="shared" si="10"/>
        <v>44.5</v>
      </c>
      <c r="K16" s="56" t="s">
        <v>20</v>
      </c>
      <c r="L16" s="128">
        <v>55.0</v>
      </c>
      <c r="M16" s="58">
        <v>1.0</v>
      </c>
      <c r="N16" s="59">
        <f t="shared" si="11"/>
        <v>48.95</v>
      </c>
      <c r="O16" s="60" t="s">
        <v>19</v>
      </c>
      <c r="P16" s="61">
        <v>40.0</v>
      </c>
      <c r="Q16" s="61"/>
      <c r="R16" s="61">
        <f t="shared" si="12"/>
        <v>0</v>
      </c>
      <c r="S16" s="61" t="s">
        <v>19</v>
      </c>
      <c r="T16" s="62">
        <v>45.0</v>
      </c>
      <c r="U16" s="63">
        <v>1.0</v>
      </c>
      <c r="V16" s="64">
        <f t="shared" si="13"/>
        <v>40.05</v>
      </c>
      <c r="W16" s="65" t="s">
        <v>19</v>
      </c>
      <c r="X16" s="66">
        <v>45.0</v>
      </c>
      <c r="Y16" s="67">
        <v>1.0</v>
      </c>
      <c r="Z16" s="68">
        <f t="shared" si="14"/>
        <v>40.05</v>
      </c>
      <c r="AA16" s="69" t="s">
        <v>19</v>
      </c>
      <c r="AB16" s="70">
        <v>220.0</v>
      </c>
      <c r="AC16" s="70">
        <v>1.0</v>
      </c>
      <c r="AD16" s="71">
        <f t="shared" si="15"/>
        <v>195.8</v>
      </c>
      <c r="AE16" s="72" t="s">
        <v>19</v>
      </c>
      <c r="AF16" s="73"/>
      <c r="AG16" s="73"/>
      <c r="AH16" s="73"/>
      <c r="AI16" s="73" t="s">
        <v>19</v>
      </c>
      <c r="AJ16" s="74"/>
      <c r="AK16" s="74"/>
      <c r="AL16" s="74"/>
      <c r="AM16" s="75" t="s">
        <v>19</v>
      </c>
      <c r="AN16" s="76"/>
      <c r="AO16" s="76"/>
      <c r="AP16" s="76"/>
      <c r="AQ16" s="76" t="s">
        <v>19</v>
      </c>
    </row>
    <row r="17" ht="15.75" customHeight="1">
      <c r="A17" s="77" t="s">
        <v>23</v>
      </c>
      <c r="B17" s="78">
        <v>3.0</v>
      </c>
      <c r="C17" s="79">
        <v>539.0</v>
      </c>
      <c r="D17" s="53">
        <v>5.0</v>
      </c>
      <c r="E17" s="80">
        <v>10.0</v>
      </c>
      <c r="F17" s="55">
        <f t="shared" si="9"/>
        <v>26.95</v>
      </c>
      <c r="G17" s="54" t="s">
        <v>19</v>
      </c>
      <c r="H17" s="76">
        <v>5.0</v>
      </c>
      <c r="I17" s="76">
        <v>5.0</v>
      </c>
      <c r="J17" s="56">
        <f t="shared" si="10"/>
        <v>13.475</v>
      </c>
      <c r="K17" s="56" t="s">
        <v>20</v>
      </c>
      <c r="L17" s="128">
        <v>60.0</v>
      </c>
      <c r="M17" s="82">
        <v>1.0</v>
      </c>
      <c r="N17" s="59">
        <f t="shared" si="11"/>
        <v>32.34</v>
      </c>
      <c r="O17" s="60" t="s">
        <v>19</v>
      </c>
      <c r="P17" s="61">
        <v>45.0</v>
      </c>
      <c r="Q17" s="61">
        <v>1.0</v>
      </c>
      <c r="R17" s="61">
        <f t="shared" si="12"/>
        <v>24.255</v>
      </c>
      <c r="S17" s="61" t="s">
        <v>19</v>
      </c>
      <c r="T17" s="62">
        <v>45.0</v>
      </c>
      <c r="U17" s="63"/>
      <c r="V17" s="64">
        <f t="shared" si="13"/>
        <v>0</v>
      </c>
      <c r="W17" s="65" t="s">
        <v>19</v>
      </c>
      <c r="X17" s="66">
        <v>45.0</v>
      </c>
      <c r="Y17" s="67"/>
      <c r="Z17" s="68">
        <f t="shared" si="14"/>
        <v>0</v>
      </c>
      <c r="AA17" s="69" t="s">
        <v>19</v>
      </c>
      <c r="AB17" s="70">
        <v>220.0</v>
      </c>
      <c r="AC17" s="70"/>
      <c r="AD17" s="71">
        <f t="shared" si="15"/>
        <v>0</v>
      </c>
      <c r="AE17" s="72" t="s">
        <v>19</v>
      </c>
      <c r="AF17" s="73"/>
      <c r="AG17" s="73"/>
      <c r="AH17" s="73"/>
      <c r="AI17" s="73" t="s">
        <v>19</v>
      </c>
      <c r="AJ17" s="74"/>
      <c r="AK17" s="74"/>
      <c r="AL17" s="74"/>
      <c r="AM17" s="75" t="s">
        <v>19</v>
      </c>
      <c r="AN17" s="76"/>
      <c r="AO17" s="76"/>
      <c r="AP17" s="76"/>
      <c r="AQ17" s="76" t="s">
        <v>19</v>
      </c>
    </row>
    <row r="18" ht="15.75" customHeight="1">
      <c r="A18" s="129" t="s">
        <v>24</v>
      </c>
      <c r="B18" s="130">
        <f t="shared" ref="B18:C18" si="16">SUM(B14:B17)</f>
        <v>20</v>
      </c>
      <c r="C18" s="130">
        <f t="shared" si="16"/>
        <v>10956</v>
      </c>
      <c r="D18" s="131"/>
      <c r="E18" s="131"/>
      <c r="F18" s="132">
        <f>SUM(F14:F17)</f>
        <v>275.25</v>
      </c>
      <c r="G18" s="133"/>
      <c r="H18" s="134"/>
      <c r="I18" s="135"/>
      <c r="J18" s="136">
        <f>SUM(J14+J15+J16+J17)</f>
        <v>449</v>
      </c>
      <c r="K18" s="135"/>
      <c r="L18" s="137"/>
      <c r="M18" s="82"/>
      <c r="N18" s="99">
        <f>SUM(N14:N17)</f>
        <v>642.72</v>
      </c>
      <c r="O18" s="138"/>
      <c r="P18" s="139"/>
      <c r="Q18" s="139"/>
      <c r="R18" s="140">
        <f>SUM(R14+R15+R16+R17)</f>
        <v>361.26</v>
      </c>
      <c r="S18" s="139"/>
      <c r="T18" s="141"/>
      <c r="U18" s="142"/>
      <c r="V18" s="99">
        <f>SUM(V13:V17)</f>
        <v>131.76</v>
      </c>
      <c r="W18" s="142"/>
      <c r="X18" s="143"/>
      <c r="Y18" s="143"/>
      <c r="Z18" s="144">
        <f>SUM(Z14:Z17)</f>
        <v>131.76</v>
      </c>
      <c r="AA18" s="145"/>
      <c r="AB18" s="98"/>
      <c r="AC18" s="98"/>
      <c r="AD18" s="99">
        <f>SUM(AD14:AD17)</f>
        <v>644.16</v>
      </c>
      <c r="AE18" s="98"/>
      <c r="AF18" s="100"/>
      <c r="AG18" s="100"/>
      <c r="AH18" s="101"/>
      <c r="AI18" s="100"/>
      <c r="AJ18" s="102"/>
      <c r="AK18" s="102"/>
      <c r="AL18" s="101"/>
      <c r="AM18" s="75"/>
      <c r="AN18" s="76"/>
      <c r="AO18" s="76"/>
      <c r="AP18" s="103"/>
      <c r="AQ18" s="76"/>
    </row>
    <row r="19" ht="15.75" customHeight="1">
      <c r="A19" s="146"/>
      <c r="B19" s="147"/>
      <c r="C19" s="147"/>
      <c r="D19" s="147"/>
      <c r="E19" s="147"/>
      <c r="F19" s="147"/>
      <c r="G19" s="147"/>
      <c r="H19" s="148"/>
      <c r="I19" s="111"/>
      <c r="J19" s="148"/>
      <c r="K19" s="111"/>
      <c r="L19" s="149"/>
      <c r="M19" s="150"/>
      <c r="N19" s="149"/>
      <c r="O19" s="149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11"/>
      <c r="AC19" s="111"/>
      <c r="AD19" s="111"/>
      <c r="AE19" s="111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</row>
    <row r="20" ht="15.75" customHeight="1">
      <c r="A20" s="5" t="s">
        <v>29</v>
      </c>
      <c r="B20" s="6"/>
      <c r="C20" s="6"/>
      <c r="D20" s="12"/>
      <c r="E20" s="12"/>
      <c r="F20" s="12"/>
      <c r="G20" s="12"/>
      <c r="H20" s="151"/>
      <c r="I20" s="11"/>
      <c r="J20" s="151"/>
      <c r="K20" s="11"/>
      <c r="L20" s="9"/>
      <c r="M20" s="10"/>
      <c r="N20" s="9"/>
      <c r="O20" s="9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1"/>
      <c r="AC20" s="11"/>
      <c r="AD20" s="11"/>
      <c r="AE20" s="11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</row>
    <row r="21" ht="15.75" customHeight="1">
      <c r="A21" s="14"/>
      <c r="B21" s="15"/>
      <c r="C21" s="16"/>
      <c r="D21" s="17" t="s">
        <v>1</v>
      </c>
      <c r="E21" s="18"/>
      <c r="F21" s="18"/>
      <c r="G21" s="15"/>
      <c r="H21" s="19" t="s">
        <v>2</v>
      </c>
      <c r="I21" s="18"/>
      <c r="J21" s="18"/>
      <c r="K21" s="15"/>
      <c r="L21" s="20" t="s">
        <v>3</v>
      </c>
      <c r="M21" s="18"/>
      <c r="N21" s="18"/>
      <c r="O21" s="18"/>
      <c r="P21" s="21" t="s">
        <v>4</v>
      </c>
      <c r="Q21" s="18"/>
      <c r="R21" s="18"/>
      <c r="S21" s="15"/>
      <c r="T21" s="22" t="s">
        <v>5</v>
      </c>
      <c r="U21" s="18"/>
      <c r="V21" s="18"/>
      <c r="W21" s="15"/>
      <c r="X21" s="23" t="s">
        <v>6</v>
      </c>
      <c r="Y21" s="18"/>
      <c r="Z21" s="18"/>
      <c r="AA21" s="15"/>
      <c r="AB21" s="24" t="s">
        <v>7</v>
      </c>
      <c r="AC21" s="18"/>
      <c r="AD21" s="18"/>
      <c r="AE21" s="15"/>
      <c r="AF21" s="25" t="s">
        <v>8</v>
      </c>
      <c r="AG21" s="18"/>
      <c r="AH21" s="18"/>
      <c r="AI21" s="15"/>
      <c r="AJ21" s="26" t="s">
        <v>9</v>
      </c>
      <c r="AK21" s="18"/>
      <c r="AL21" s="18"/>
      <c r="AM21" s="15"/>
      <c r="AN21" s="19" t="s">
        <v>10</v>
      </c>
      <c r="AO21" s="18"/>
      <c r="AP21" s="18"/>
      <c r="AQ21" s="15"/>
    </row>
    <row r="22" ht="15.75" customHeight="1">
      <c r="A22" s="27" t="s">
        <v>11</v>
      </c>
      <c r="B22" s="28" t="s">
        <v>12</v>
      </c>
      <c r="C22" s="28" t="s">
        <v>13</v>
      </c>
      <c r="D22" s="29" t="s">
        <v>14</v>
      </c>
      <c r="E22" s="30" t="s">
        <v>15</v>
      </c>
      <c r="F22" s="30" t="s">
        <v>16</v>
      </c>
      <c r="G22" s="30" t="s">
        <v>17</v>
      </c>
      <c r="H22" s="31" t="s">
        <v>14</v>
      </c>
      <c r="I22" s="32" t="s">
        <v>15</v>
      </c>
      <c r="J22" s="32" t="s">
        <v>16</v>
      </c>
      <c r="K22" s="32" t="s">
        <v>17</v>
      </c>
      <c r="L22" s="33" t="s">
        <v>14</v>
      </c>
      <c r="M22" s="34" t="s">
        <v>15</v>
      </c>
      <c r="N22" s="34" t="s">
        <v>16</v>
      </c>
      <c r="O22" s="124" t="s">
        <v>17</v>
      </c>
      <c r="P22" s="35" t="s">
        <v>14</v>
      </c>
      <c r="Q22" s="36" t="s">
        <v>15</v>
      </c>
      <c r="R22" s="36" t="s">
        <v>16</v>
      </c>
      <c r="S22" s="36" t="s">
        <v>17</v>
      </c>
      <c r="T22" s="37" t="s">
        <v>14</v>
      </c>
      <c r="U22" s="38" t="s">
        <v>15</v>
      </c>
      <c r="V22" s="38" t="s">
        <v>16</v>
      </c>
      <c r="W22" s="38" t="s">
        <v>17</v>
      </c>
      <c r="X22" s="125" t="s">
        <v>14</v>
      </c>
      <c r="Y22" s="126" t="s">
        <v>15</v>
      </c>
      <c r="Z22" s="127" t="s">
        <v>16</v>
      </c>
      <c r="AA22" s="127" t="s">
        <v>17</v>
      </c>
      <c r="AB22" s="42" t="s">
        <v>14</v>
      </c>
      <c r="AC22" s="43" t="s">
        <v>15</v>
      </c>
      <c r="AD22" s="44" t="s">
        <v>16</v>
      </c>
      <c r="AE22" s="44" t="s">
        <v>17</v>
      </c>
      <c r="AF22" s="45" t="s">
        <v>14</v>
      </c>
      <c r="AG22" s="45" t="s">
        <v>15</v>
      </c>
      <c r="AH22" s="45" t="s">
        <v>16</v>
      </c>
      <c r="AI22" s="45" t="s">
        <v>17</v>
      </c>
      <c r="AJ22" s="46" t="s">
        <v>14</v>
      </c>
      <c r="AK22" s="46" t="s">
        <v>15</v>
      </c>
      <c r="AL22" s="46" t="s">
        <v>16</v>
      </c>
      <c r="AM22" s="46" t="s">
        <v>17</v>
      </c>
      <c r="AN22" s="47" t="s">
        <v>14</v>
      </c>
      <c r="AO22" s="48" t="s">
        <v>15</v>
      </c>
      <c r="AP22" s="49" t="s">
        <v>16</v>
      </c>
      <c r="AQ22" s="49" t="s">
        <v>17</v>
      </c>
    </row>
    <row r="23" ht="15.75" customHeight="1">
      <c r="A23" s="50" t="s">
        <v>30</v>
      </c>
      <c r="B23" s="78">
        <v>30.0</v>
      </c>
      <c r="C23" s="79">
        <v>6198.0</v>
      </c>
      <c r="D23" s="53">
        <v>5.0</v>
      </c>
      <c r="E23" s="54">
        <v>20.0</v>
      </c>
      <c r="F23" s="55">
        <f t="shared" ref="F23:F26" si="17">D23*E23*C23/1000</f>
        <v>619.8</v>
      </c>
      <c r="G23" s="54" t="s">
        <v>19</v>
      </c>
      <c r="H23" s="56">
        <v>5.0</v>
      </c>
      <c r="I23" s="56">
        <v>20.0</v>
      </c>
      <c r="J23" s="56">
        <f t="shared" ref="J23:J26" si="18">H23*I23*C23/1000</f>
        <v>619.8</v>
      </c>
      <c r="K23" s="56" t="s">
        <v>20</v>
      </c>
      <c r="L23" s="128">
        <v>55.0</v>
      </c>
      <c r="M23" s="58">
        <v>1.0</v>
      </c>
      <c r="N23" s="59">
        <f t="shared" ref="N23:N26" si="19">L23*M23*C23/1000</f>
        <v>340.89</v>
      </c>
      <c r="O23" s="60" t="s">
        <v>19</v>
      </c>
      <c r="P23" s="61">
        <v>40.0</v>
      </c>
      <c r="Q23" s="61"/>
      <c r="R23" s="61">
        <f t="shared" ref="R23:R26" si="20">P23*Q23*C23/1000</f>
        <v>0</v>
      </c>
      <c r="S23" s="61" t="s">
        <v>19</v>
      </c>
      <c r="T23" s="62">
        <v>45.0</v>
      </c>
      <c r="U23" s="63">
        <v>1.0</v>
      </c>
      <c r="V23" s="64">
        <f t="shared" ref="V23:V26" si="21">T23*U23*C23/1000</f>
        <v>278.91</v>
      </c>
      <c r="W23" s="65" t="s">
        <v>19</v>
      </c>
      <c r="X23" s="66">
        <v>45.0</v>
      </c>
      <c r="Y23" s="67">
        <v>1.0</v>
      </c>
      <c r="Z23" s="68">
        <f t="shared" ref="Z23:Z26" si="22">X23*Y23*C23/1000</f>
        <v>278.91</v>
      </c>
      <c r="AA23" s="69" t="s">
        <v>19</v>
      </c>
      <c r="AB23" s="70">
        <v>220.0</v>
      </c>
      <c r="AC23" s="70">
        <v>1.0</v>
      </c>
      <c r="AD23" s="71">
        <f t="shared" ref="AD23:AD26" si="23">AB23*AC23*C23/1000</f>
        <v>1363.56</v>
      </c>
      <c r="AE23" s="72" t="s">
        <v>19</v>
      </c>
      <c r="AF23" s="73"/>
      <c r="AG23" s="73"/>
      <c r="AH23" s="73"/>
      <c r="AI23" s="73" t="s">
        <v>19</v>
      </c>
      <c r="AJ23" s="74"/>
      <c r="AK23" s="74"/>
      <c r="AL23" s="74"/>
      <c r="AM23" s="75" t="s">
        <v>19</v>
      </c>
      <c r="AN23" s="76"/>
      <c r="AO23" s="76"/>
      <c r="AP23" s="76"/>
      <c r="AQ23" s="76" t="s">
        <v>19</v>
      </c>
    </row>
    <row r="24" ht="15.75" customHeight="1">
      <c r="A24" s="77" t="s">
        <v>27</v>
      </c>
      <c r="B24" s="78">
        <v>26.0</v>
      </c>
      <c r="C24" s="79">
        <v>27856.0</v>
      </c>
      <c r="D24" s="53">
        <v>5.0</v>
      </c>
      <c r="E24" s="80"/>
      <c r="F24" s="55">
        <f t="shared" si="17"/>
        <v>0</v>
      </c>
      <c r="G24" s="54" t="s">
        <v>19</v>
      </c>
      <c r="H24" s="76">
        <v>5.0</v>
      </c>
      <c r="I24" s="76">
        <v>5.0</v>
      </c>
      <c r="J24" s="56">
        <f t="shared" si="18"/>
        <v>696.4</v>
      </c>
      <c r="K24" s="56" t="s">
        <v>20</v>
      </c>
      <c r="L24" s="128">
        <v>60.0</v>
      </c>
      <c r="M24" s="58">
        <v>1.0</v>
      </c>
      <c r="N24" s="59">
        <f t="shared" si="19"/>
        <v>1671.36</v>
      </c>
      <c r="O24" s="60" t="s">
        <v>19</v>
      </c>
      <c r="P24" s="61">
        <v>45.0</v>
      </c>
      <c r="Q24" s="61">
        <v>1.0</v>
      </c>
      <c r="R24" s="61">
        <f t="shared" si="20"/>
        <v>1253.52</v>
      </c>
      <c r="S24" s="61" t="s">
        <v>19</v>
      </c>
      <c r="T24" s="62">
        <v>45.0</v>
      </c>
      <c r="U24" s="63"/>
      <c r="V24" s="64">
        <f t="shared" si="21"/>
        <v>0</v>
      </c>
      <c r="W24" s="65" t="s">
        <v>19</v>
      </c>
      <c r="X24" s="66">
        <v>45.0</v>
      </c>
      <c r="Y24" s="67"/>
      <c r="Z24" s="68">
        <f t="shared" si="22"/>
        <v>0</v>
      </c>
      <c r="AA24" s="69" t="s">
        <v>19</v>
      </c>
      <c r="AB24" s="70">
        <v>220.0</v>
      </c>
      <c r="AC24" s="70"/>
      <c r="AD24" s="71">
        <f t="shared" si="23"/>
        <v>0</v>
      </c>
      <c r="AE24" s="72" t="s">
        <v>19</v>
      </c>
      <c r="AF24" s="73"/>
      <c r="AG24" s="73"/>
      <c r="AH24" s="73"/>
      <c r="AI24" s="73" t="s">
        <v>19</v>
      </c>
      <c r="AJ24" s="74"/>
      <c r="AK24" s="74"/>
      <c r="AL24" s="74"/>
      <c r="AM24" s="75" t="s">
        <v>19</v>
      </c>
      <c r="AN24" s="76"/>
      <c r="AO24" s="76"/>
      <c r="AP24" s="76"/>
      <c r="AQ24" s="76" t="s">
        <v>19</v>
      </c>
    </row>
    <row r="25" ht="15.75" customHeight="1">
      <c r="A25" s="81" t="s">
        <v>31</v>
      </c>
      <c r="B25" s="152">
        <v>1.0</v>
      </c>
      <c r="C25" s="153">
        <v>574.0</v>
      </c>
      <c r="D25" s="53">
        <v>5.0</v>
      </c>
      <c r="E25" s="80">
        <v>10.0</v>
      </c>
      <c r="F25" s="55">
        <f t="shared" si="17"/>
        <v>28.7</v>
      </c>
      <c r="G25" s="54" t="s">
        <v>19</v>
      </c>
      <c r="H25" s="76">
        <v>5.0</v>
      </c>
      <c r="I25" s="76">
        <v>10.0</v>
      </c>
      <c r="J25" s="56">
        <f t="shared" si="18"/>
        <v>28.7</v>
      </c>
      <c r="K25" s="56" t="s">
        <v>20</v>
      </c>
      <c r="L25" s="128">
        <v>55.0</v>
      </c>
      <c r="M25" s="58">
        <v>1.0</v>
      </c>
      <c r="N25" s="59">
        <f t="shared" si="19"/>
        <v>31.57</v>
      </c>
      <c r="O25" s="60" t="s">
        <v>19</v>
      </c>
      <c r="P25" s="61">
        <v>40.0</v>
      </c>
      <c r="Q25" s="61"/>
      <c r="R25" s="61">
        <f t="shared" si="20"/>
        <v>0</v>
      </c>
      <c r="S25" s="61" t="s">
        <v>19</v>
      </c>
      <c r="T25" s="62">
        <v>45.0</v>
      </c>
      <c r="U25" s="63">
        <v>1.0</v>
      </c>
      <c r="V25" s="64">
        <f t="shared" si="21"/>
        <v>25.83</v>
      </c>
      <c r="W25" s="65" t="s">
        <v>19</v>
      </c>
      <c r="X25" s="66">
        <v>45.0</v>
      </c>
      <c r="Y25" s="67">
        <v>1.0</v>
      </c>
      <c r="Z25" s="68">
        <f t="shared" si="22"/>
        <v>25.83</v>
      </c>
      <c r="AA25" s="69" t="s">
        <v>19</v>
      </c>
      <c r="AB25" s="70">
        <v>220.0</v>
      </c>
      <c r="AC25" s="70">
        <v>1.0</v>
      </c>
      <c r="AD25" s="71">
        <f t="shared" si="23"/>
        <v>126.28</v>
      </c>
      <c r="AE25" s="72" t="s">
        <v>19</v>
      </c>
      <c r="AF25" s="73"/>
      <c r="AG25" s="73"/>
      <c r="AH25" s="73"/>
      <c r="AI25" s="73" t="s">
        <v>19</v>
      </c>
      <c r="AJ25" s="74"/>
      <c r="AK25" s="74"/>
      <c r="AL25" s="74"/>
      <c r="AM25" s="75" t="s">
        <v>19</v>
      </c>
      <c r="AN25" s="76"/>
      <c r="AO25" s="76"/>
      <c r="AP25" s="76"/>
      <c r="AQ25" s="76" t="s">
        <v>19</v>
      </c>
    </row>
    <row r="26" ht="15.75" customHeight="1">
      <c r="A26" s="77" t="s">
        <v>23</v>
      </c>
      <c r="B26" s="78">
        <v>11.0</v>
      </c>
      <c r="C26" s="79">
        <v>1680.0</v>
      </c>
      <c r="D26" s="53">
        <v>5.0</v>
      </c>
      <c r="E26" s="80">
        <v>10.0</v>
      </c>
      <c r="F26" s="55">
        <f t="shared" si="17"/>
        <v>84</v>
      </c>
      <c r="G26" s="54" t="s">
        <v>19</v>
      </c>
      <c r="H26" s="76">
        <v>5.0</v>
      </c>
      <c r="I26" s="76">
        <v>5.0</v>
      </c>
      <c r="J26" s="56">
        <f t="shared" si="18"/>
        <v>42</v>
      </c>
      <c r="K26" s="56" t="s">
        <v>20</v>
      </c>
      <c r="L26" s="128">
        <v>60.0</v>
      </c>
      <c r="M26" s="82">
        <v>1.0</v>
      </c>
      <c r="N26" s="59">
        <f t="shared" si="19"/>
        <v>100.8</v>
      </c>
      <c r="O26" s="60" t="s">
        <v>19</v>
      </c>
      <c r="P26" s="61">
        <v>45.0</v>
      </c>
      <c r="Q26" s="61">
        <v>1.0</v>
      </c>
      <c r="R26" s="61">
        <f t="shared" si="20"/>
        <v>75.6</v>
      </c>
      <c r="S26" s="61" t="s">
        <v>19</v>
      </c>
      <c r="T26" s="62">
        <v>45.0</v>
      </c>
      <c r="U26" s="63"/>
      <c r="V26" s="64">
        <f t="shared" si="21"/>
        <v>0</v>
      </c>
      <c r="W26" s="65" t="s">
        <v>19</v>
      </c>
      <c r="X26" s="66">
        <v>45.0</v>
      </c>
      <c r="Y26" s="67"/>
      <c r="Z26" s="68">
        <f t="shared" si="22"/>
        <v>0</v>
      </c>
      <c r="AA26" s="69" t="s">
        <v>19</v>
      </c>
      <c r="AB26" s="70">
        <v>220.0</v>
      </c>
      <c r="AC26" s="70"/>
      <c r="AD26" s="71">
        <f t="shared" si="23"/>
        <v>0</v>
      </c>
      <c r="AE26" s="72" t="s">
        <v>19</v>
      </c>
      <c r="AF26" s="73"/>
      <c r="AG26" s="73"/>
      <c r="AH26" s="73"/>
      <c r="AI26" s="73" t="s">
        <v>19</v>
      </c>
      <c r="AJ26" s="74"/>
      <c r="AK26" s="74"/>
      <c r="AL26" s="74"/>
      <c r="AM26" s="75" t="s">
        <v>19</v>
      </c>
      <c r="AN26" s="76"/>
      <c r="AO26" s="76"/>
      <c r="AP26" s="76"/>
      <c r="AQ26" s="76" t="s">
        <v>19</v>
      </c>
    </row>
    <row r="27" ht="15.75" customHeight="1">
      <c r="A27" s="129" t="s">
        <v>24</v>
      </c>
      <c r="B27" s="130">
        <f t="shared" ref="B27:C27" si="24">SUM(B23:B26)</f>
        <v>68</v>
      </c>
      <c r="C27" s="130">
        <f t="shared" si="24"/>
        <v>36308</v>
      </c>
      <c r="D27" s="131"/>
      <c r="E27" s="131"/>
      <c r="F27" s="99">
        <f>SUM(F23:F26)</f>
        <v>732.5</v>
      </c>
      <c r="G27" s="131"/>
      <c r="H27" s="134"/>
      <c r="I27" s="135"/>
      <c r="J27" s="28">
        <f>SUM(J23+J24+J25+J26)</f>
        <v>1386.9</v>
      </c>
      <c r="K27" s="135"/>
      <c r="L27" s="137"/>
      <c r="M27" s="82"/>
      <c r="N27" s="99">
        <f>SUM(N23:N26)</f>
        <v>2144.62</v>
      </c>
      <c r="O27" s="138"/>
      <c r="P27" s="154"/>
      <c r="Q27" s="154"/>
      <c r="R27" s="140">
        <f>SUM(R23+R24+R25+R26)</f>
        <v>1329.12</v>
      </c>
      <c r="S27" s="154"/>
      <c r="T27" s="142"/>
      <c r="U27" s="142"/>
      <c r="V27" s="99">
        <f>SUM(V23:V26)</f>
        <v>304.74</v>
      </c>
      <c r="W27" s="63"/>
      <c r="X27" s="95"/>
      <c r="Y27" s="95"/>
      <c r="Z27" s="144">
        <f>SUM(Z23:Z26)</f>
        <v>304.74</v>
      </c>
      <c r="AA27" s="95"/>
      <c r="AB27" s="98"/>
      <c r="AC27" s="98"/>
      <c r="AD27" s="99">
        <f>SUM(AD23:AD26)</f>
        <v>1489.84</v>
      </c>
      <c r="AE27" s="98"/>
      <c r="AF27" s="100"/>
      <c r="AG27" s="100"/>
      <c r="AH27" s="101"/>
      <c r="AI27" s="100"/>
      <c r="AJ27" s="102"/>
      <c r="AK27" s="102"/>
      <c r="AL27" s="101"/>
      <c r="AM27" s="75"/>
      <c r="AN27" s="76"/>
      <c r="AO27" s="76"/>
      <c r="AP27" s="103"/>
      <c r="AQ27" s="76"/>
    </row>
    <row r="28" ht="15.75" customHeight="1">
      <c r="A28" s="147"/>
      <c r="B28" s="147"/>
      <c r="C28" s="147"/>
      <c r="D28" s="147"/>
      <c r="E28" s="147"/>
      <c r="F28" s="147"/>
      <c r="G28" s="147"/>
      <c r="H28" s="148"/>
      <c r="I28" s="111"/>
      <c r="J28" s="148"/>
      <c r="K28" s="111"/>
      <c r="L28" s="149"/>
      <c r="M28" s="150"/>
      <c r="N28" s="149"/>
      <c r="O28" s="149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11"/>
      <c r="AC28" s="111"/>
      <c r="AD28" s="111"/>
      <c r="AE28" s="111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</row>
    <row r="29" ht="15.75" customHeight="1">
      <c r="A29" s="5" t="s">
        <v>32</v>
      </c>
      <c r="B29" s="6"/>
      <c r="C29" s="6"/>
      <c r="D29" s="12"/>
      <c r="E29" s="12"/>
      <c r="F29" s="12"/>
      <c r="G29" s="12"/>
      <c r="H29" s="151"/>
      <c r="I29" s="11"/>
      <c r="J29" s="151"/>
      <c r="K29" s="11"/>
      <c r="L29" s="9"/>
      <c r="M29" s="10"/>
      <c r="N29" s="9"/>
      <c r="O29" s="9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1"/>
      <c r="AC29" s="11"/>
      <c r="AD29" s="11"/>
      <c r="AE29" s="11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</row>
    <row r="30" ht="15.75" customHeight="1">
      <c r="A30" s="14"/>
      <c r="B30" s="15"/>
      <c r="C30" s="16"/>
      <c r="D30" s="17" t="s">
        <v>1</v>
      </c>
      <c r="E30" s="18"/>
      <c r="F30" s="18"/>
      <c r="G30" s="15"/>
      <c r="H30" s="19" t="s">
        <v>2</v>
      </c>
      <c r="I30" s="18"/>
      <c r="J30" s="18"/>
      <c r="K30" s="15"/>
      <c r="L30" s="20" t="s">
        <v>3</v>
      </c>
      <c r="M30" s="18"/>
      <c r="N30" s="18"/>
      <c r="O30" s="18"/>
      <c r="P30" s="21" t="s">
        <v>4</v>
      </c>
      <c r="Q30" s="18"/>
      <c r="R30" s="18"/>
      <c r="S30" s="15"/>
      <c r="T30" s="22" t="s">
        <v>5</v>
      </c>
      <c r="U30" s="18"/>
      <c r="V30" s="18"/>
      <c r="W30" s="15"/>
      <c r="X30" s="23" t="s">
        <v>6</v>
      </c>
      <c r="Y30" s="18"/>
      <c r="Z30" s="18"/>
      <c r="AA30" s="15"/>
      <c r="AB30" s="24" t="s">
        <v>7</v>
      </c>
      <c r="AC30" s="18"/>
      <c r="AD30" s="18"/>
      <c r="AE30" s="15"/>
      <c r="AF30" s="25" t="s">
        <v>8</v>
      </c>
      <c r="AG30" s="18"/>
      <c r="AH30" s="18"/>
      <c r="AI30" s="15"/>
      <c r="AJ30" s="26" t="s">
        <v>9</v>
      </c>
      <c r="AK30" s="18"/>
      <c r="AL30" s="18"/>
      <c r="AM30" s="15"/>
      <c r="AN30" s="19" t="s">
        <v>10</v>
      </c>
      <c r="AO30" s="18"/>
      <c r="AP30" s="18"/>
      <c r="AQ30" s="15"/>
    </row>
    <row r="31" ht="15.75" customHeight="1">
      <c r="A31" s="27" t="s">
        <v>11</v>
      </c>
      <c r="B31" s="28" t="s">
        <v>12</v>
      </c>
      <c r="C31" s="28" t="s">
        <v>13</v>
      </c>
      <c r="D31" s="29" t="s">
        <v>14</v>
      </c>
      <c r="E31" s="30" t="s">
        <v>15</v>
      </c>
      <c r="F31" s="30" t="s">
        <v>16</v>
      </c>
      <c r="G31" s="30" t="s">
        <v>17</v>
      </c>
      <c r="H31" s="31" t="s">
        <v>14</v>
      </c>
      <c r="I31" s="32" t="s">
        <v>15</v>
      </c>
      <c r="J31" s="32" t="s">
        <v>16</v>
      </c>
      <c r="K31" s="32" t="s">
        <v>17</v>
      </c>
      <c r="L31" s="33" t="s">
        <v>14</v>
      </c>
      <c r="M31" s="34" t="s">
        <v>15</v>
      </c>
      <c r="N31" s="34" t="s">
        <v>16</v>
      </c>
      <c r="O31" s="124" t="s">
        <v>17</v>
      </c>
      <c r="P31" s="35" t="s">
        <v>14</v>
      </c>
      <c r="Q31" s="36" t="s">
        <v>15</v>
      </c>
      <c r="R31" s="36" t="s">
        <v>16</v>
      </c>
      <c r="S31" s="36" t="s">
        <v>17</v>
      </c>
      <c r="T31" s="37" t="s">
        <v>14</v>
      </c>
      <c r="U31" s="38" t="s">
        <v>15</v>
      </c>
      <c r="V31" s="38" t="s">
        <v>33</v>
      </c>
      <c r="W31" s="38" t="s">
        <v>17</v>
      </c>
      <c r="X31" s="125" t="s">
        <v>14</v>
      </c>
      <c r="Y31" s="126" t="s">
        <v>15</v>
      </c>
      <c r="Z31" s="127" t="s">
        <v>16</v>
      </c>
      <c r="AA31" s="127" t="s">
        <v>17</v>
      </c>
      <c r="AB31" s="42" t="s">
        <v>14</v>
      </c>
      <c r="AC31" s="43" t="s">
        <v>15</v>
      </c>
      <c r="AD31" s="44" t="s">
        <v>16</v>
      </c>
      <c r="AE31" s="44" t="s">
        <v>17</v>
      </c>
      <c r="AF31" s="45" t="s">
        <v>14</v>
      </c>
      <c r="AG31" s="45" t="s">
        <v>15</v>
      </c>
      <c r="AH31" s="45" t="s">
        <v>16</v>
      </c>
      <c r="AI31" s="45" t="s">
        <v>17</v>
      </c>
      <c r="AJ31" s="46" t="s">
        <v>14</v>
      </c>
      <c r="AK31" s="46" t="s">
        <v>15</v>
      </c>
      <c r="AL31" s="46" t="s">
        <v>16</v>
      </c>
      <c r="AM31" s="46" t="s">
        <v>17</v>
      </c>
      <c r="AN31" s="47" t="s">
        <v>14</v>
      </c>
      <c r="AO31" s="48" t="s">
        <v>15</v>
      </c>
      <c r="AP31" s="49" t="s">
        <v>16</v>
      </c>
      <c r="AQ31" s="49" t="s">
        <v>17</v>
      </c>
    </row>
    <row r="32" ht="15.75" customHeight="1">
      <c r="A32" s="77" t="s">
        <v>34</v>
      </c>
      <c r="B32" s="78">
        <v>18.0</v>
      </c>
      <c r="C32" s="79">
        <v>3832.0</v>
      </c>
      <c r="D32" s="80">
        <v>5.0</v>
      </c>
      <c r="E32" s="80">
        <v>20.0</v>
      </c>
      <c r="F32" s="155">
        <f t="shared" ref="F32:F34" si="25">D32*E32*C32/1000</f>
        <v>383.2</v>
      </c>
      <c r="G32" s="54" t="s">
        <v>19</v>
      </c>
      <c r="H32" s="76">
        <v>5.0</v>
      </c>
      <c r="I32" s="76">
        <v>20.0</v>
      </c>
      <c r="J32" s="76">
        <f t="shared" ref="J32:J34" si="26">H32*I32*C32/1000</f>
        <v>383.2</v>
      </c>
      <c r="K32" s="56" t="s">
        <v>20</v>
      </c>
      <c r="L32" s="128">
        <v>55.0</v>
      </c>
      <c r="M32" s="58">
        <v>1.0</v>
      </c>
      <c r="N32" s="59">
        <f t="shared" ref="N32:N34" si="27">L32*M32*C32/1000</f>
        <v>210.76</v>
      </c>
      <c r="O32" s="60" t="s">
        <v>19</v>
      </c>
      <c r="P32" s="61">
        <v>40.0</v>
      </c>
      <c r="Q32" s="61"/>
      <c r="R32" s="61">
        <f t="shared" ref="R32:R34" si="28">P32*Q32*C32/1000</f>
        <v>0</v>
      </c>
      <c r="S32" s="61" t="s">
        <v>19</v>
      </c>
      <c r="T32" s="62">
        <v>45.0</v>
      </c>
      <c r="U32" s="63">
        <v>1.0</v>
      </c>
      <c r="V32" s="64">
        <f t="shared" ref="V32:V34" si="29">T32*U32*C32/1000</f>
        <v>172.44</v>
      </c>
      <c r="W32" s="63" t="s">
        <v>19</v>
      </c>
      <c r="X32" s="66">
        <v>45.0</v>
      </c>
      <c r="Y32" s="67">
        <v>1.0</v>
      </c>
      <c r="Z32" s="68">
        <f t="shared" ref="Z32:Z34" si="30">X32*Y32*C32/1000</f>
        <v>172.44</v>
      </c>
      <c r="AA32" s="69" t="s">
        <v>19</v>
      </c>
      <c r="AB32" s="70">
        <v>220.0</v>
      </c>
      <c r="AC32" s="70">
        <v>1.0</v>
      </c>
      <c r="AD32" s="71">
        <f t="shared" ref="AD32:AD34" si="31">AB32*AC32*C32/1000</f>
        <v>843.04</v>
      </c>
      <c r="AE32" s="72" t="s">
        <v>19</v>
      </c>
      <c r="AF32" s="73"/>
      <c r="AG32" s="73"/>
      <c r="AH32" s="73"/>
      <c r="AI32" s="73" t="s">
        <v>19</v>
      </c>
      <c r="AJ32" s="74"/>
      <c r="AK32" s="74"/>
      <c r="AL32" s="74"/>
      <c r="AM32" s="75" t="s">
        <v>19</v>
      </c>
      <c r="AN32" s="76"/>
      <c r="AO32" s="76"/>
      <c r="AP32" s="76"/>
      <c r="AQ32" s="76" t="s">
        <v>19</v>
      </c>
    </row>
    <row r="33" ht="15.75" customHeight="1">
      <c r="A33" s="77" t="s">
        <v>27</v>
      </c>
      <c r="B33" s="78">
        <v>10.0</v>
      </c>
      <c r="C33" s="79">
        <v>8879.0</v>
      </c>
      <c r="D33" s="80">
        <v>5.0</v>
      </c>
      <c r="E33" s="80"/>
      <c r="F33" s="155">
        <f t="shared" si="25"/>
        <v>0</v>
      </c>
      <c r="G33" s="54" t="s">
        <v>19</v>
      </c>
      <c r="H33" s="76">
        <v>5.0</v>
      </c>
      <c r="I33" s="76">
        <v>5.0</v>
      </c>
      <c r="J33" s="76">
        <f t="shared" si="26"/>
        <v>221.975</v>
      </c>
      <c r="K33" s="56" t="s">
        <v>20</v>
      </c>
      <c r="L33" s="128">
        <v>60.0</v>
      </c>
      <c r="M33" s="58">
        <v>1.0</v>
      </c>
      <c r="N33" s="59">
        <f t="shared" si="27"/>
        <v>532.74</v>
      </c>
      <c r="O33" s="60" t="s">
        <v>19</v>
      </c>
      <c r="P33" s="61">
        <v>45.0</v>
      </c>
      <c r="Q33" s="61">
        <v>1.0</v>
      </c>
      <c r="R33" s="61">
        <f t="shared" si="28"/>
        <v>399.555</v>
      </c>
      <c r="S33" s="61" t="s">
        <v>19</v>
      </c>
      <c r="T33" s="62">
        <v>45.0</v>
      </c>
      <c r="U33" s="63"/>
      <c r="V33" s="64">
        <f t="shared" si="29"/>
        <v>0</v>
      </c>
      <c r="W33" s="63" t="s">
        <v>19</v>
      </c>
      <c r="X33" s="66">
        <v>45.0</v>
      </c>
      <c r="Y33" s="67"/>
      <c r="Z33" s="68">
        <f t="shared" si="30"/>
        <v>0</v>
      </c>
      <c r="AA33" s="69" t="s">
        <v>19</v>
      </c>
      <c r="AB33" s="70">
        <v>220.0</v>
      </c>
      <c r="AC33" s="70"/>
      <c r="AD33" s="71">
        <f t="shared" si="31"/>
        <v>0</v>
      </c>
      <c r="AE33" s="72" t="s">
        <v>19</v>
      </c>
      <c r="AF33" s="73"/>
      <c r="AG33" s="73"/>
      <c r="AH33" s="73"/>
      <c r="AI33" s="73" t="s">
        <v>19</v>
      </c>
      <c r="AJ33" s="74"/>
      <c r="AK33" s="74"/>
      <c r="AL33" s="74"/>
      <c r="AM33" s="75" t="s">
        <v>19</v>
      </c>
      <c r="AN33" s="76"/>
      <c r="AO33" s="76"/>
      <c r="AP33" s="76"/>
      <c r="AQ33" s="76" t="s">
        <v>19</v>
      </c>
    </row>
    <row r="34" ht="15.75" customHeight="1">
      <c r="A34" s="81" t="s">
        <v>35</v>
      </c>
      <c r="B34" s="152">
        <v>1.0</v>
      </c>
      <c r="C34" s="153">
        <v>571.0</v>
      </c>
      <c r="D34" s="80">
        <v>5.0</v>
      </c>
      <c r="E34" s="80">
        <v>10.0</v>
      </c>
      <c r="F34" s="155">
        <f t="shared" si="25"/>
        <v>28.55</v>
      </c>
      <c r="G34" s="54" t="s">
        <v>19</v>
      </c>
      <c r="H34" s="76">
        <v>5.0</v>
      </c>
      <c r="I34" s="76">
        <v>10.0</v>
      </c>
      <c r="J34" s="76">
        <f t="shared" si="26"/>
        <v>28.55</v>
      </c>
      <c r="K34" s="56" t="s">
        <v>20</v>
      </c>
      <c r="L34" s="128">
        <v>55.0</v>
      </c>
      <c r="M34" s="58">
        <v>1.0</v>
      </c>
      <c r="N34" s="59">
        <f t="shared" si="27"/>
        <v>31.405</v>
      </c>
      <c r="O34" s="60" t="s">
        <v>19</v>
      </c>
      <c r="P34" s="61">
        <v>40.0</v>
      </c>
      <c r="Q34" s="61"/>
      <c r="R34" s="61">
        <f t="shared" si="28"/>
        <v>0</v>
      </c>
      <c r="S34" s="61" t="s">
        <v>19</v>
      </c>
      <c r="T34" s="62">
        <v>45.0</v>
      </c>
      <c r="U34" s="63">
        <v>1.0</v>
      </c>
      <c r="V34" s="64">
        <f t="shared" si="29"/>
        <v>25.695</v>
      </c>
      <c r="W34" s="63" t="s">
        <v>19</v>
      </c>
      <c r="X34" s="66">
        <v>45.0</v>
      </c>
      <c r="Y34" s="67">
        <v>1.0</v>
      </c>
      <c r="Z34" s="68">
        <f t="shared" si="30"/>
        <v>25.695</v>
      </c>
      <c r="AA34" s="69" t="s">
        <v>19</v>
      </c>
      <c r="AB34" s="70">
        <v>220.0</v>
      </c>
      <c r="AC34" s="70">
        <v>1.0</v>
      </c>
      <c r="AD34" s="71">
        <f t="shared" si="31"/>
        <v>125.62</v>
      </c>
      <c r="AE34" s="72" t="s">
        <v>19</v>
      </c>
      <c r="AF34" s="73"/>
      <c r="AG34" s="73"/>
      <c r="AH34" s="73"/>
      <c r="AI34" s="73" t="s">
        <v>19</v>
      </c>
      <c r="AJ34" s="74"/>
      <c r="AK34" s="74"/>
      <c r="AL34" s="74"/>
      <c r="AM34" s="75" t="s">
        <v>19</v>
      </c>
      <c r="AN34" s="76"/>
      <c r="AO34" s="76"/>
      <c r="AP34" s="76"/>
      <c r="AQ34" s="76" t="s">
        <v>19</v>
      </c>
    </row>
    <row r="35" ht="15.75" customHeight="1">
      <c r="A35" s="129" t="s">
        <v>24</v>
      </c>
      <c r="B35" s="130">
        <f t="shared" ref="B35:C35" si="32">SUM(B32:B34)</f>
        <v>29</v>
      </c>
      <c r="C35" s="130">
        <f t="shared" si="32"/>
        <v>13282</v>
      </c>
      <c r="D35" s="131"/>
      <c r="E35" s="131"/>
      <c r="F35" s="99">
        <f>SUM(F32:F34)</f>
        <v>411.75</v>
      </c>
      <c r="G35" s="131"/>
      <c r="H35" s="134"/>
      <c r="I35" s="135"/>
      <c r="J35" s="130">
        <f>SUM(J32+J33+J34)</f>
        <v>633.725</v>
      </c>
      <c r="K35" s="56"/>
      <c r="L35" s="137"/>
      <c r="M35" s="82"/>
      <c r="N35" s="99">
        <f>SUM(N32:N34)</f>
        <v>774.905</v>
      </c>
      <c r="O35" s="138"/>
      <c r="P35" s="139"/>
      <c r="Q35" s="139"/>
      <c r="R35" s="156">
        <f>SUM(R32+R33+R34)</f>
        <v>399.555</v>
      </c>
      <c r="S35" s="139"/>
      <c r="T35" s="141"/>
      <c r="U35" s="142"/>
      <c r="V35" s="99">
        <f>SUM(V31:V34)</f>
        <v>198.135</v>
      </c>
      <c r="W35" s="142"/>
      <c r="X35" s="143"/>
      <c r="Y35" s="143"/>
      <c r="Z35" s="144">
        <f>SUM(Z32:Z34)</f>
        <v>198.135</v>
      </c>
      <c r="AA35" s="145"/>
      <c r="AB35" s="98"/>
      <c r="AC35" s="98"/>
      <c r="AD35" s="99">
        <f>SUM(AD32:AD34)</f>
        <v>968.66</v>
      </c>
      <c r="AE35" s="98"/>
      <c r="AF35" s="100"/>
      <c r="AG35" s="100"/>
      <c r="AH35" s="101"/>
      <c r="AI35" s="100"/>
      <c r="AJ35" s="102"/>
      <c r="AK35" s="102"/>
      <c r="AL35" s="101"/>
      <c r="AM35" s="75"/>
      <c r="AN35" s="76"/>
      <c r="AO35" s="76"/>
      <c r="AP35" s="103"/>
      <c r="AQ35" s="76"/>
    </row>
    <row r="36" ht="15.75" customHeight="1">
      <c r="A36" s="157"/>
      <c r="B36" s="109"/>
      <c r="C36" s="109"/>
      <c r="D36" s="147"/>
      <c r="E36" s="147"/>
      <c r="F36" s="147"/>
      <c r="G36" s="147"/>
      <c r="H36" s="148"/>
      <c r="I36" s="111"/>
      <c r="J36" s="148"/>
      <c r="K36" s="111"/>
      <c r="L36" s="149"/>
      <c r="M36" s="150"/>
      <c r="N36" s="149"/>
      <c r="O36" s="149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11"/>
      <c r="AC36" s="111"/>
      <c r="AD36" s="111"/>
      <c r="AE36" s="111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</row>
    <row r="37" ht="15.75" customHeight="1">
      <c r="A37" s="5" t="s">
        <v>36</v>
      </c>
      <c r="B37" s="6"/>
      <c r="C37" s="6"/>
      <c r="D37" s="12"/>
      <c r="E37" s="12"/>
      <c r="F37" s="12"/>
      <c r="G37" s="12"/>
      <c r="H37" s="151"/>
      <c r="I37" s="11"/>
      <c r="J37" s="151"/>
      <c r="K37" s="11"/>
      <c r="L37" s="9"/>
      <c r="M37" s="10"/>
      <c r="N37" s="9"/>
      <c r="O37" s="9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1"/>
      <c r="AC37" s="11"/>
      <c r="AD37" s="11"/>
      <c r="AE37" s="11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</row>
    <row r="38" ht="15.75" customHeight="1">
      <c r="A38" s="14"/>
      <c r="B38" s="15"/>
      <c r="C38" s="16"/>
      <c r="D38" s="17" t="s">
        <v>1</v>
      </c>
      <c r="E38" s="18"/>
      <c r="F38" s="18"/>
      <c r="G38" s="15"/>
      <c r="H38" s="19" t="s">
        <v>2</v>
      </c>
      <c r="I38" s="18"/>
      <c r="J38" s="18"/>
      <c r="K38" s="15"/>
      <c r="L38" s="20" t="s">
        <v>3</v>
      </c>
      <c r="M38" s="18"/>
      <c r="N38" s="18"/>
      <c r="O38" s="18"/>
      <c r="P38" s="21" t="s">
        <v>4</v>
      </c>
      <c r="Q38" s="18"/>
      <c r="R38" s="18"/>
      <c r="S38" s="15"/>
      <c r="T38" s="22" t="s">
        <v>5</v>
      </c>
      <c r="U38" s="18"/>
      <c r="V38" s="18"/>
      <c r="W38" s="15"/>
      <c r="X38" s="23" t="s">
        <v>6</v>
      </c>
      <c r="Y38" s="18"/>
      <c r="Z38" s="18"/>
      <c r="AA38" s="15"/>
      <c r="AB38" s="24" t="s">
        <v>7</v>
      </c>
      <c r="AC38" s="18"/>
      <c r="AD38" s="18"/>
      <c r="AE38" s="15"/>
      <c r="AF38" s="25" t="s">
        <v>8</v>
      </c>
      <c r="AG38" s="18"/>
      <c r="AH38" s="18"/>
      <c r="AI38" s="15"/>
      <c r="AJ38" s="26" t="s">
        <v>9</v>
      </c>
      <c r="AK38" s="18"/>
      <c r="AL38" s="18"/>
      <c r="AM38" s="15"/>
      <c r="AN38" s="19" t="s">
        <v>10</v>
      </c>
      <c r="AO38" s="18"/>
      <c r="AP38" s="18"/>
      <c r="AQ38" s="15"/>
    </row>
    <row r="39" ht="15.75" customHeight="1">
      <c r="A39" s="27" t="s">
        <v>11</v>
      </c>
      <c r="B39" s="28" t="s">
        <v>12</v>
      </c>
      <c r="C39" s="28" t="s">
        <v>13</v>
      </c>
      <c r="D39" s="29" t="s">
        <v>14</v>
      </c>
      <c r="E39" s="30" t="s">
        <v>15</v>
      </c>
      <c r="F39" s="30" t="s">
        <v>16</v>
      </c>
      <c r="G39" s="30" t="s">
        <v>17</v>
      </c>
      <c r="H39" s="31" t="s">
        <v>14</v>
      </c>
      <c r="I39" s="32" t="s">
        <v>15</v>
      </c>
      <c r="J39" s="32" t="s">
        <v>16</v>
      </c>
      <c r="K39" s="32" t="s">
        <v>17</v>
      </c>
      <c r="L39" s="33" t="s">
        <v>14</v>
      </c>
      <c r="M39" s="34" t="s">
        <v>15</v>
      </c>
      <c r="N39" s="34" t="s">
        <v>16</v>
      </c>
      <c r="O39" s="124" t="s">
        <v>17</v>
      </c>
      <c r="P39" s="35" t="s">
        <v>14</v>
      </c>
      <c r="Q39" s="36" t="s">
        <v>15</v>
      </c>
      <c r="R39" s="36" t="s">
        <v>16</v>
      </c>
      <c r="S39" s="36" t="s">
        <v>17</v>
      </c>
      <c r="T39" s="37" t="s">
        <v>14</v>
      </c>
      <c r="U39" s="38" t="s">
        <v>15</v>
      </c>
      <c r="V39" s="38" t="s">
        <v>37</v>
      </c>
      <c r="W39" s="38" t="s">
        <v>17</v>
      </c>
      <c r="X39" s="125" t="s">
        <v>14</v>
      </c>
      <c r="Y39" s="126" t="s">
        <v>15</v>
      </c>
      <c r="Z39" s="127" t="s">
        <v>16</v>
      </c>
      <c r="AA39" s="127" t="s">
        <v>17</v>
      </c>
      <c r="AB39" s="42" t="s">
        <v>14</v>
      </c>
      <c r="AC39" s="43" t="s">
        <v>15</v>
      </c>
      <c r="AD39" s="44" t="s">
        <v>16</v>
      </c>
      <c r="AE39" s="44" t="s">
        <v>17</v>
      </c>
      <c r="AF39" s="45" t="s">
        <v>14</v>
      </c>
      <c r="AG39" s="45" t="s">
        <v>15</v>
      </c>
      <c r="AH39" s="45" t="s">
        <v>16</v>
      </c>
      <c r="AI39" s="45" t="s">
        <v>17</v>
      </c>
      <c r="AJ39" s="46" t="s">
        <v>14</v>
      </c>
      <c r="AK39" s="46" t="s">
        <v>15</v>
      </c>
      <c r="AL39" s="46" t="s">
        <v>16</v>
      </c>
      <c r="AM39" s="46" t="s">
        <v>17</v>
      </c>
      <c r="AN39" s="47" t="s">
        <v>14</v>
      </c>
      <c r="AO39" s="48" t="s">
        <v>15</v>
      </c>
      <c r="AP39" s="49" t="s">
        <v>16</v>
      </c>
      <c r="AQ39" s="49" t="s">
        <v>17</v>
      </c>
    </row>
    <row r="40" ht="15.75" customHeight="1">
      <c r="A40" s="77" t="s">
        <v>38</v>
      </c>
      <c r="B40" s="78">
        <v>1.0</v>
      </c>
      <c r="C40" s="79">
        <v>377.0</v>
      </c>
      <c r="D40" s="80">
        <v>5.0</v>
      </c>
      <c r="E40" s="80">
        <v>20.0</v>
      </c>
      <c r="F40" s="155">
        <f t="shared" ref="F40:F43" si="33">D40*E40*C40/1000</f>
        <v>37.7</v>
      </c>
      <c r="G40" s="54" t="s">
        <v>19</v>
      </c>
      <c r="H40" s="76">
        <v>5.0</v>
      </c>
      <c r="I40" s="76">
        <v>20.0</v>
      </c>
      <c r="J40" s="76">
        <f t="shared" ref="J40:J43" si="34">H40*I40*C40/1000</f>
        <v>37.7</v>
      </c>
      <c r="K40" s="56" t="s">
        <v>20</v>
      </c>
      <c r="L40" s="128">
        <v>55.0</v>
      </c>
      <c r="M40" s="58">
        <v>1.0</v>
      </c>
      <c r="N40" s="59">
        <f t="shared" ref="N40:N43" si="35">L40*M40*C40/1000</f>
        <v>20.735</v>
      </c>
      <c r="O40" s="60" t="s">
        <v>19</v>
      </c>
      <c r="P40" s="61">
        <v>40.0</v>
      </c>
      <c r="Q40" s="61"/>
      <c r="R40" s="61">
        <f t="shared" ref="R40:R43" si="36">P40*Q40*C40/1000</f>
        <v>0</v>
      </c>
      <c r="S40" s="61" t="s">
        <v>19</v>
      </c>
      <c r="T40" s="62">
        <v>45.0</v>
      </c>
      <c r="U40" s="63">
        <v>1.0</v>
      </c>
      <c r="V40" s="64">
        <f t="shared" ref="V40:V43" si="37">T40*U40*C40/1000</f>
        <v>16.965</v>
      </c>
      <c r="W40" s="65" t="s">
        <v>19</v>
      </c>
      <c r="X40" s="66">
        <v>45.0</v>
      </c>
      <c r="Y40" s="67">
        <v>1.0</v>
      </c>
      <c r="Z40" s="68">
        <f t="shared" ref="Z40:Z43" si="38">X40*Y40*C40/1000</f>
        <v>16.965</v>
      </c>
      <c r="AA40" s="69" t="s">
        <v>19</v>
      </c>
      <c r="AB40" s="70">
        <v>220.0</v>
      </c>
      <c r="AC40" s="70">
        <v>1.0</v>
      </c>
      <c r="AD40" s="71">
        <f t="shared" ref="AD40:AD43" si="39">AB40*AC40*C40/1000</f>
        <v>82.94</v>
      </c>
      <c r="AE40" s="72" t="s">
        <v>19</v>
      </c>
      <c r="AF40" s="73"/>
      <c r="AG40" s="73"/>
      <c r="AH40" s="73"/>
      <c r="AI40" s="73" t="s">
        <v>19</v>
      </c>
      <c r="AJ40" s="74"/>
      <c r="AK40" s="74"/>
      <c r="AL40" s="74"/>
      <c r="AM40" s="75" t="s">
        <v>19</v>
      </c>
      <c r="AN40" s="76"/>
      <c r="AO40" s="76"/>
      <c r="AP40" s="76"/>
      <c r="AQ40" s="76" t="s">
        <v>19</v>
      </c>
    </row>
    <row r="41" ht="15.75" customHeight="1">
      <c r="A41" s="77" t="s">
        <v>39</v>
      </c>
      <c r="B41" s="78">
        <v>9.0</v>
      </c>
      <c r="C41" s="79">
        <v>3778.0</v>
      </c>
      <c r="D41" s="80">
        <v>5.0</v>
      </c>
      <c r="E41" s="80"/>
      <c r="F41" s="155">
        <f t="shared" si="33"/>
        <v>0</v>
      </c>
      <c r="G41" s="54" t="s">
        <v>19</v>
      </c>
      <c r="H41" s="76">
        <v>5.0</v>
      </c>
      <c r="I41" s="76">
        <v>5.0</v>
      </c>
      <c r="J41" s="76">
        <f t="shared" si="34"/>
        <v>94.45</v>
      </c>
      <c r="K41" s="56" t="s">
        <v>20</v>
      </c>
      <c r="L41" s="128">
        <v>60.0</v>
      </c>
      <c r="M41" s="58">
        <v>1.0</v>
      </c>
      <c r="N41" s="59">
        <f t="shared" si="35"/>
        <v>226.68</v>
      </c>
      <c r="O41" s="60" t="s">
        <v>19</v>
      </c>
      <c r="P41" s="61">
        <v>45.0</v>
      </c>
      <c r="Q41" s="61">
        <v>1.0</v>
      </c>
      <c r="R41" s="61">
        <f t="shared" si="36"/>
        <v>170.01</v>
      </c>
      <c r="S41" s="61" t="s">
        <v>19</v>
      </c>
      <c r="T41" s="62">
        <v>45.0</v>
      </c>
      <c r="U41" s="63"/>
      <c r="V41" s="64">
        <f t="shared" si="37"/>
        <v>0</v>
      </c>
      <c r="W41" s="65" t="s">
        <v>19</v>
      </c>
      <c r="X41" s="66">
        <v>45.0</v>
      </c>
      <c r="Y41" s="67"/>
      <c r="Z41" s="68">
        <f t="shared" si="38"/>
        <v>0</v>
      </c>
      <c r="AA41" s="69" t="s">
        <v>19</v>
      </c>
      <c r="AB41" s="70">
        <v>220.0</v>
      </c>
      <c r="AC41" s="70"/>
      <c r="AD41" s="71">
        <f t="shared" si="39"/>
        <v>0</v>
      </c>
      <c r="AE41" s="72" t="s">
        <v>19</v>
      </c>
      <c r="AF41" s="73"/>
      <c r="AG41" s="73"/>
      <c r="AH41" s="73"/>
      <c r="AI41" s="73" t="s">
        <v>19</v>
      </c>
      <c r="AJ41" s="74"/>
      <c r="AK41" s="74"/>
      <c r="AL41" s="74"/>
      <c r="AM41" s="75" t="s">
        <v>19</v>
      </c>
      <c r="AN41" s="76"/>
      <c r="AO41" s="76"/>
      <c r="AP41" s="76"/>
      <c r="AQ41" s="76" t="s">
        <v>19</v>
      </c>
    </row>
    <row r="42" ht="18.75" customHeight="1">
      <c r="A42" s="81" t="s">
        <v>40</v>
      </c>
      <c r="B42" s="78">
        <v>1.0</v>
      </c>
      <c r="C42" s="79">
        <v>296.0</v>
      </c>
      <c r="D42" s="80">
        <v>5.0</v>
      </c>
      <c r="E42" s="80">
        <v>10.0</v>
      </c>
      <c r="F42" s="155">
        <f t="shared" si="33"/>
        <v>14.8</v>
      </c>
      <c r="G42" s="54" t="s">
        <v>19</v>
      </c>
      <c r="H42" s="76">
        <v>5.0</v>
      </c>
      <c r="I42" s="76">
        <v>10.0</v>
      </c>
      <c r="J42" s="76">
        <f t="shared" si="34"/>
        <v>14.8</v>
      </c>
      <c r="K42" s="56" t="s">
        <v>20</v>
      </c>
      <c r="L42" s="128">
        <v>55.0</v>
      </c>
      <c r="M42" s="58">
        <v>1.0</v>
      </c>
      <c r="N42" s="59">
        <f t="shared" si="35"/>
        <v>16.28</v>
      </c>
      <c r="O42" s="60" t="s">
        <v>19</v>
      </c>
      <c r="P42" s="61">
        <v>40.0</v>
      </c>
      <c r="Q42" s="61"/>
      <c r="R42" s="61">
        <f t="shared" si="36"/>
        <v>0</v>
      </c>
      <c r="S42" s="61" t="s">
        <v>19</v>
      </c>
      <c r="T42" s="62">
        <v>45.0</v>
      </c>
      <c r="U42" s="63">
        <v>1.0</v>
      </c>
      <c r="V42" s="64">
        <f t="shared" si="37"/>
        <v>13.32</v>
      </c>
      <c r="W42" s="65" t="s">
        <v>19</v>
      </c>
      <c r="X42" s="66">
        <v>45.0</v>
      </c>
      <c r="Y42" s="67">
        <v>1.0</v>
      </c>
      <c r="Z42" s="68">
        <f t="shared" si="38"/>
        <v>13.32</v>
      </c>
      <c r="AA42" s="69" t="s">
        <v>19</v>
      </c>
      <c r="AB42" s="70">
        <v>220.0</v>
      </c>
      <c r="AC42" s="70">
        <v>1.0</v>
      </c>
      <c r="AD42" s="71">
        <f t="shared" si="39"/>
        <v>65.12</v>
      </c>
      <c r="AE42" s="72" t="s">
        <v>19</v>
      </c>
      <c r="AF42" s="73"/>
      <c r="AG42" s="73"/>
      <c r="AH42" s="73"/>
      <c r="AI42" s="73" t="s">
        <v>19</v>
      </c>
      <c r="AJ42" s="74"/>
      <c r="AK42" s="74"/>
      <c r="AL42" s="74"/>
      <c r="AM42" s="75" t="s">
        <v>19</v>
      </c>
      <c r="AN42" s="76"/>
      <c r="AO42" s="76"/>
      <c r="AP42" s="76"/>
      <c r="AQ42" s="76" t="s">
        <v>19</v>
      </c>
    </row>
    <row r="43" ht="15.75" customHeight="1">
      <c r="A43" s="77" t="s">
        <v>23</v>
      </c>
      <c r="B43" s="78">
        <v>8.0</v>
      </c>
      <c r="C43" s="79">
        <v>1203.0</v>
      </c>
      <c r="D43" s="80">
        <v>5.0</v>
      </c>
      <c r="E43" s="80">
        <v>10.0</v>
      </c>
      <c r="F43" s="155">
        <f t="shared" si="33"/>
        <v>60.15</v>
      </c>
      <c r="G43" s="54" t="s">
        <v>19</v>
      </c>
      <c r="H43" s="76">
        <v>5.0</v>
      </c>
      <c r="I43" s="76">
        <v>5.0</v>
      </c>
      <c r="J43" s="76">
        <f t="shared" si="34"/>
        <v>30.075</v>
      </c>
      <c r="K43" s="56" t="s">
        <v>20</v>
      </c>
      <c r="L43" s="128">
        <v>60.0</v>
      </c>
      <c r="M43" s="82">
        <v>1.0</v>
      </c>
      <c r="N43" s="59">
        <f t="shared" si="35"/>
        <v>72.18</v>
      </c>
      <c r="O43" s="60" t="s">
        <v>19</v>
      </c>
      <c r="P43" s="61">
        <v>45.0</v>
      </c>
      <c r="Q43" s="61">
        <v>1.0</v>
      </c>
      <c r="R43" s="61">
        <f t="shared" si="36"/>
        <v>54.135</v>
      </c>
      <c r="S43" s="61" t="s">
        <v>19</v>
      </c>
      <c r="T43" s="62">
        <v>45.0</v>
      </c>
      <c r="U43" s="63"/>
      <c r="V43" s="64">
        <f t="shared" si="37"/>
        <v>0</v>
      </c>
      <c r="W43" s="65" t="s">
        <v>19</v>
      </c>
      <c r="X43" s="66">
        <v>45.0</v>
      </c>
      <c r="Y43" s="67"/>
      <c r="Z43" s="68">
        <f t="shared" si="38"/>
        <v>0</v>
      </c>
      <c r="AA43" s="69" t="s">
        <v>19</v>
      </c>
      <c r="AB43" s="70">
        <v>220.0</v>
      </c>
      <c r="AC43" s="70"/>
      <c r="AD43" s="71">
        <f t="shared" si="39"/>
        <v>0</v>
      </c>
      <c r="AE43" s="72" t="s">
        <v>19</v>
      </c>
      <c r="AF43" s="73"/>
      <c r="AG43" s="73"/>
      <c r="AH43" s="73"/>
      <c r="AI43" s="73" t="s">
        <v>19</v>
      </c>
      <c r="AJ43" s="74"/>
      <c r="AK43" s="74"/>
      <c r="AL43" s="74"/>
      <c r="AM43" s="75" t="s">
        <v>19</v>
      </c>
      <c r="AN43" s="76"/>
      <c r="AO43" s="76"/>
      <c r="AP43" s="76"/>
      <c r="AQ43" s="76" t="s">
        <v>19</v>
      </c>
    </row>
    <row r="44" ht="15.75" customHeight="1">
      <c r="A44" s="129" t="s">
        <v>24</v>
      </c>
      <c r="B44" s="130">
        <f t="shared" ref="B44:C44" si="40">SUM(B40:B43)</f>
        <v>19</v>
      </c>
      <c r="C44" s="130">
        <f t="shared" si="40"/>
        <v>5654</v>
      </c>
      <c r="D44" s="131"/>
      <c r="E44" s="131"/>
      <c r="F44" s="99">
        <f>SUM(F40:F43)</f>
        <v>112.65</v>
      </c>
      <c r="G44" s="131"/>
      <c r="H44" s="134"/>
      <c r="I44" s="135"/>
      <c r="J44" s="130">
        <f>SUM(J40+J41+J42+J43)</f>
        <v>177.025</v>
      </c>
      <c r="K44" s="135"/>
      <c r="L44" s="137"/>
      <c r="M44" s="82"/>
      <c r="N44" s="99">
        <f>SUM(N40:N43)</f>
        <v>335.875</v>
      </c>
      <c r="O44" s="138"/>
      <c r="P44" s="154"/>
      <c r="Q44" s="154"/>
      <c r="R44" s="140">
        <f>SUM(R40+R41+R42+R43)</f>
        <v>224.145</v>
      </c>
      <c r="S44" s="154"/>
      <c r="T44" s="142"/>
      <c r="U44" s="142"/>
      <c r="V44" s="99">
        <f>SUM(V40:V43)</f>
        <v>30.285</v>
      </c>
      <c r="W44" s="142"/>
      <c r="X44" s="95"/>
      <c r="Y44" s="95"/>
      <c r="Z44" s="144">
        <f>SUM(Z40:Z43)</f>
        <v>30.285</v>
      </c>
      <c r="AA44" s="95"/>
      <c r="AB44" s="98"/>
      <c r="AC44" s="98"/>
      <c r="AD44" s="99">
        <f>SUM(AD40:AD43)</f>
        <v>148.06</v>
      </c>
      <c r="AE44" s="98"/>
      <c r="AF44" s="100"/>
      <c r="AG44" s="100"/>
      <c r="AH44" s="101"/>
      <c r="AI44" s="100"/>
      <c r="AJ44" s="102"/>
      <c r="AK44" s="102"/>
      <c r="AL44" s="101"/>
      <c r="AM44" s="102"/>
      <c r="AN44" s="135"/>
      <c r="AO44" s="135"/>
      <c r="AP44" s="101"/>
      <c r="AQ44" s="135"/>
    </row>
    <row r="45" ht="15.75" customHeight="1">
      <c r="A45" s="147"/>
      <c r="B45" s="147"/>
      <c r="C45" s="147"/>
      <c r="D45" s="147"/>
      <c r="E45" s="147"/>
      <c r="F45" s="147"/>
      <c r="G45" s="147"/>
      <c r="H45" s="148"/>
      <c r="I45" s="111"/>
      <c r="J45" s="148"/>
      <c r="K45" s="111"/>
      <c r="L45" s="149"/>
      <c r="M45" s="150"/>
      <c r="N45" s="149"/>
      <c r="O45" s="149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11"/>
      <c r="AC45" s="111"/>
      <c r="AD45" s="111"/>
      <c r="AE45" s="111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</row>
    <row r="46" ht="15.75" customHeight="1">
      <c r="A46" s="5" t="s">
        <v>41</v>
      </c>
      <c r="B46" s="6"/>
      <c r="C46" s="6"/>
      <c r="D46" s="12"/>
      <c r="E46" s="12"/>
      <c r="F46" s="12"/>
      <c r="G46" s="12"/>
      <c r="H46" s="158"/>
      <c r="I46" s="12"/>
      <c r="J46" s="158"/>
      <c r="K46" s="12"/>
      <c r="L46" s="159"/>
      <c r="M46" s="160"/>
      <c r="N46" s="159"/>
      <c r="O46" s="159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</row>
    <row r="47" ht="15.75" customHeight="1">
      <c r="A47" s="14"/>
      <c r="B47" s="15"/>
      <c r="C47" s="105"/>
      <c r="D47" s="17" t="s">
        <v>1</v>
      </c>
      <c r="E47" s="18"/>
      <c r="F47" s="18"/>
      <c r="G47" s="15"/>
      <c r="H47" s="19" t="s">
        <v>2</v>
      </c>
      <c r="I47" s="18"/>
      <c r="J47" s="18"/>
      <c r="K47" s="15"/>
      <c r="L47" s="161" t="s">
        <v>3</v>
      </c>
      <c r="M47" s="18"/>
      <c r="N47" s="18"/>
      <c r="O47" s="15"/>
      <c r="P47" s="21" t="s">
        <v>4</v>
      </c>
      <c r="Q47" s="18"/>
      <c r="R47" s="18"/>
      <c r="S47" s="15"/>
      <c r="T47" s="22" t="s">
        <v>5</v>
      </c>
      <c r="U47" s="18"/>
      <c r="V47" s="18"/>
      <c r="W47" s="15"/>
      <c r="X47" s="23" t="s">
        <v>6</v>
      </c>
      <c r="Y47" s="18"/>
      <c r="Z47" s="18"/>
      <c r="AA47" s="15"/>
      <c r="AB47" s="24" t="s">
        <v>7</v>
      </c>
      <c r="AC47" s="18"/>
      <c r="AD47" s="18"/>
      <c r="AE47" s="15"/>
      <c r="AF47" s="25" t="s">
        <v>8</v>
      </c>
      <c r="AG47" s="18"/>
      <c r="AH47" s="18"/>
      <c r="AI47" s="15"/>
      <c r="AJ47" s="26" t="s">
        <v>9</v>
      </c>
      <c r="AK47" s="18"/>
      <c r="AL47" s="18"/>
      <c r="AM47" s="15"/>
      <c r="AN47" s="19" t="s">
        <v>10</v>
      </c>
      <c r="AO47" s="18"/>
      <c r="AP47" s="18"/>
      <c r="AQ47" s="15"/>
    </row>
    <row r="48" ht="15.75" customHeight="1">
      <c r="A48" s="27" t="s">
        <v>11</v>
      </c>
      <c r="B48" s="28" t="s">
        <v>12</v>
      </c>
      <c r="C48" s="28" t="s">
        <v>13</v>
      </c>
      <c r="D48" s="29" t="s">
        <v>14</v>
      </c>
      <c r="E48" s="30" t="s">
        <v>15</v>
      </c>
      <c r="F48" s="30" t="s">
        <v>16</v>
      </c>
      <c r="G48" s="30" t="s">
        <v>17</v>
      </c>
      <c r="H48" s="31" t="s">
        <v>14</v>
      </c>
      <c r="I48" s="32" t="s">
        <v>15</v>
      </c>
      <c r="J48" s="32" t="s">
        <v>16</v>
      </c>
      <c r="K48" s="32" t="s">
        <v>17</v>
      </c>
      <c r="L48" s="162" t="s">
        <v>14</v>
      </c>
      <c r="M48" s="34" t="s">
        <v>15</v>
      </c>
      <c r="N48" s="34" t="s">
        <v>16</v>
      </c>
      <c r="O48" s="34" t="s">
        <v>17</v>
      </c>
      <c r="P48" s="35" t="s">
        <v>14</v>
      </c>
      <c r="Q48" s="36" t="s">
        <v>15</v>
      </c>
      <c r="R48" s="36" t="s">
        <v>16</v>
      </c>
      <c r="S48" s="36" t="s">
        <v>17</v>
      </c>
      <c r="T48" s="37" t="s">
        <v>14</v>
      </c>
      <c r="U48" s="38" t="s">
        <v>15</v>
      </c>
      <c r="V48" s="38" t="s">
        <v>16</v>
      </c>
      <c r="W48" s="38" t="s">
        <v>17</v>
      </c>
      <c r="X48" s="125" t="s">
        <v>14</v>
      </c>
      <c r="Y48" s="126" t="s">
        <v>15</v>
      </c>
      <c r="Z48" s="127" t="s">
        <v>16</v>
      </c>
      <c r="AA48" s="127" t="s">
        <v>17</v>
      </c>
      <c r="AB48" s="163" t="s">
        <v>14</v>
      </c>
      <c r="AC48" s="164" t="s">
        <v>15</v>
      </c>
      <c r="AD48" s="44" t="s">
        <v>16</v>
      </c>
      <c r="AE48" s="44" t="s">
        <v>17</v>
      </c>
      <c r="AF48" s="45" t="s">
        <v>14</v>
      </c>
      <c r="AG48" s="45" t="s">
        <v>15</v>
      </c>
      <c r="AH48" s="45" t="s">
        <v>16</v>
      </c>
      <c r="AI48" s="45" t="s">
        <v>17</v>
      </c>
      <c r="AJ48" s="46" t="s">
        <v>14</v>
      </c>
      <c r="AK48" s="46" t="s">
        <v>15</v>
      </c>
      <c r="AL48" s="46" t="s">
        <v>16</v>
      </c>
      <c r="AM48" s="46" t="s">
        <v>17</v>
      </c>
      <c r="AN48" s="47" t="s">
        <v>14</v>
      </c>
      <c r="AO48" s="48" t="s">
        <v>15</v>
      </c>
      <c r="AP48" s="49" t="s">
        <v>16</v>
      </c>
      <c r="AQ48" s="49" t="s">
        <v>17</v>
      </c>
    </row>
    <row r="49" ht="15.75" customHeight="1">
      <c r="A49" s="77" t="s">
        <v>42</v>
      </c>
      <c r="B49" s="78">
        <v>15.0</v>
      </c>
      <c r="C49" s="79">
        <v>2934.0</v>
      </c>
      <c r="D49" s="80">
        <v>5.0</v>
      </c>
      <c r="E49" s="80">
        <v>20.0</v>
      </c>
      <c r="F49" s="155">
        <f t="shared" ref="F49:F53" si="41">D49*E49*C49/1000</f>
        <v>293.4</v>
      </c>
      <c r="G49" s="54" t="s">
        <v>19</v>
      </c>
      <c r="H49" s="76">
        <v>5.0</v>
      </c>
      <c r="I49" s="76">
        <v>20.0</v>
      </c>
      <c r="J49" s="76">
        <f t="shared" ref="J49:J53" si="42">H49*I49*C49/1000</f>
        <v>293.4</v>
      </c>
      <c r="K49" s="56" t="s">
        <v>20</v>
      </c>
      <c r="L49" s="58">
        <v>55.0</v>
      </c>
      <c r="M49" s="58">
        <v>1.0</v>
      </c>
      <c r="N49" s="59">
        <f t="shared" ref="N49:N53" si="43">L49*M49*C49/1000</f>
        <v>161.37</v>
      </c>
      <c r="O49" s="60" t="s">
        <v>19</v>
      </c>
      <c r="P49" s="61">
        <v>40.0</v>
      </c>
      <c r="Q49" s="61"/>
      <c r="R49" s="61">
        <f t="shared" ref="R49:R53" si="44">P49*Q49*C49/1000</f>
        <v>0</v>
      </c>
      <c r="S49" s="61" t="s">
        <v>19</v>
      </c>
      <c r="T49" s="62">
        <v>45.0</v>
      </c>
      <c r="U49" s="63">
        <v>1.0</v>
      </c>
      <c r="V49" s="64">
        <f t="shared" ref="V49:V53" si="45">T49*U49*C49/1000</f>
        <v>132.03</v>
      </c>
      <c r="W49" s="65" t="s">
        <v>19</v>
      </c>
      <c r="X49" s="66">
        <v>45.0</v>
      </c>
      <c r="Y49" s="67">
        <v>1.0</v>
      </c>
      <c r="Z49" s="68">
        <f t="shared" ref="Z49:Z53" si="46">X49*Y49*C49/1000</f>
        <v>132.03</v>
      </c>
      <c r="AA49" s="69" t="s">
        <v>19</v>
      </c>
      <c r="AB49" s="70">
        <v>220.0</v>
      </c>
      <c r="AC49" s="70">
        <v>1.0</v>
      </c>
      <c r="AD49" s="165">
        <f t="shared" ref="AD49:AD53" si="47">AB49*AC49*C49/1000</f>
        <v>645.48</v>
      </c>
      <c r="AE49" s="72" t="s">
        <v>19</v>
      </c>
      <c r="AF49" s="73"/>
      <c r="AG49" s="73"/>
      <c r="AH49" s="73"/>
      <c r="AI49" s="73" t="s">
        <v>19</v>
      </c>
      <c r="AJ49" s="74"/>
      <c r="AK49" s="74"/>
      <c r="AL49" s="74"/>
      <c r="AM49" s="75" t="s">
        <v>19</v>
      </c>
      <c r="AN49" s="76"/>
      <c r="AO49" s="76"/>
      <c r="AP49" s="76"/>
      <c r="AQ49" s="76" t="s">
        <v>19</v>
      </c>
    </row>
    <row r="50" ht="15.75" customHeight="1">
      <c r="A50" s="77" t="s">
        <v>27</v>
      </c>
      <c r="B50" s="78">
        <v>12.0</v>
      </c>
      <c r="C50" s="79">
        <v>9903.0</v>
      </c>
      <c r="D50" s="80">
        <v>5.0</v>
      </c>
      <c r="E50" s="80"/>
      <c r="F50" s="155">
        <f t="shared" si="41"/>
        <v>0</v>
      </c>
      <c r="G50" s="54" t="s">
        <v>19</v>
      </c>
      <c r="H50" s="76">
        <v>5.0</v>
      </c>
      <c r="I50" s="76">
        <v>5.0</v>
      </c>
      <c r="J50" s="76">
        <f t="shared" si="42"/>
        <v>247.575</v>
      </c>
      <c r="K50" s="56" t="s">
        <v>20</v>
      </c>
      <c r="L50" s="58">
        <v>60.0</v>
      </c>
      <c r="M50" s="58">
        <v>1.0</v>
      </c>
      <c r="N50" s="59">
        <f t="shared" si="43"/>
        <v>594.18</v>
      </c>
      <c r="O50" s="60" t="s">
        <v>19</v>
      </c>
      <c r="P50" s="61">
        <v>45.0</v>
      </c>
      <c r="Q50" s="61">
        <v>1.0</v>
      </c>
      <c r="R50" s="61">
        <f t="shared" si="44"/>
        <v>445.635</v>
      </c>
      <c r="S50" s="61" t="s">
        <v>19</v>
      </c>
      <c r="T50" s="62">
        <v>45.0</v>
      </c>
      <c r="U50" s="63"/>
      <c r="V50" s="64">
        <f t="shared" si="45"/>
        <v>0</v>
      </c>
      <c r="W50" s="65" t="s">
        <v>19</v>
      </c>
      <c r="X50" s="66">
        <v>45.0</v>
      </c>
      <c r="Y50" s="67"/>
      <c r="Z50" s="68">
        <f t="shared" si="46"/>
        <v>0</v>
      </c>
      <c r="AA50" s="69" t="s">
        <v>19</v>
      </c>
      <c r="AB50" s="70">
        <v>220.0</v>
      </c>
      <c r="AC50" s="70"/>
      <c r="AD50" s="165">
        <f t="shared" si="47"/>
        <v>0</v>
      </c>
      <c r="AE50" s="72" t="s">
        <v>19</v>
      </c>
      <c r="AF50" s="73"/>
      <c r="AG50" s="73"/>
      <c r="AH50" s="73"/>
      <c r="AI50" s="73" t="s">
        <v>19</v>
      </c>
      <c r="AJ50" s="74"/>
      <c r="AK50" s="74"/>
      <c r="AL50" s="74"/>
      <c r="AM50" s="75" t="s">
        <v>19</v>
      </c>
      <c r="AN50" s="76"/>
      <c r="AO50" s="76"/>
      <c r="AP50" s="76"/>
      <c r="AQ50" s="76" t="s">
        <v>19</v>
      </c>
    </row>
    <row r="51" ht="15.75" customHeight="1">
      <c r="A51" s="77" t="s">
        <v>43</v>
      </c>
      <c r="B51" s="78">
        <v>1.0</v>
      </c>
      <c r="C51" s="79">
        <v>299.0</v>
      </c>
      <c r="D51" s="80">
        <v>5.0</v>
      </c>
      <c r="E51" s="80">
        <v>10.0</v>
      </c>
      <c r="F51" s="155">
        <f t="shared" si="41"/>
        <v>14.95</v>
      </c>
      <c r="G51" s="54" t="s">
        <v>19</v>
      </c>
      <c r="H51" s="76">
        <v>5.0</v>
      </c>
      <c r="I51" s="76">
        <v>10.0</v>
      </c>
      <c r="J51" s="76">
        <f t="shared" si="42"/>
        <v>14.95</v>
      </c>
      <c r="K51" s="56" t="s">
        <v>20</v>
      </c>
      <c r="L51" s="58">
        <v>55.0</v>
      </c>
      <c r="M51" s="58">
        <v>1.0</v>
      </c>
      <c r="N51" s="59">
        <f t="shared" si="43"/>
        <v>16.445</v>
      </c>
      <c r="O51" s="60" t="s">
        <v>19</v>
      </c>
      <c r="P51" s="61">
        <v>40.0</v>
      </c>
      <c r="Q51" s="61"/>
      <c r="R51" s="61">
        <f t="shared" si="44"/>
        <v>0</v>
      </c>
      <c r="S51" s="61" t="s">
        <v>19</v>
      </c>
      <c r="T51" s="62">
        <v>45.0</v>
      </c>
      <c r="U51" s="63">
        <v>1.0</v>
      </c>
      <c r="V51" s="64">
        <f t="shared" si="45"/>
        <v>13.455</v>
      </c>
      <c r="W51" s="65" t="s">
        <v>19</v>
      </c>
      <c r="X51" s="66">
        <v>45.0</v>
      </c>
      <c r="Y51" s="67">
        <v>1.0</v>
      </c>
      <c r="Z51" s="68">
        <f t="shared" si="46"/>
        <v>13.455</v>
      </c>
      <c r="AA51" s="69" t="s">
        <v>19</v>
      </c>
      <c r="AB51" s="70">
        <v>220.0</v>
      </c>
      <c r="AC51" s="70">
        <v>1.0</v>
      </c>
      <c r="AD51" s="165">
        <f t="shared" si="47"/>
        <v>65.78</v>
      </c>
      <c r="AE51" s="72" t="s">
        <v>19</v>
      </c>
      <c r="AF51" s="73"/>
      <c r="AG51" s="73"/>
      <c r="AH51" s="73"/>
      <c r="AI51" s="73" t="s">
        <v>19</v>
      </c>
      <c r="AJ51" s="74"/>
      <c r="AK51" s="74"/>
      <c r="AL51" s="74"/>
      <c r="AM51" s="75" t="s">
        <v>19</v>
      </c>
      <c r="AN51" s="76"/>
      <c r="AO51" s="76"/>
      <c r="AP51" s="76"/>
      <c r="AQ51" s="76" t="s">
        <v>19</v>
      </c>
    </row>
    <row r="52" ht="15.75" customHeight="1">
      <c r="A52" s="77" t="s">
        <v>44</v>
      </c>
      <c r="B52" s="78">
        <v>1.0</v>
      </c>
      <c r="C52" s="79">
        <v>234.0</v>
      </c>
      <c r="D52" s="80">
        <v>5.0</v>
      </c>
      <c r="E52" s="80">
        <v>10.0</v>
      </c>
      <c r="F52" s="155">
        <f t="shared" si="41"/>
        <v>11.7</v>
      </c>
      <c r="G52" s="54" t="s">
        <v>19</v>
      </c>
      <c r="H52" s="76">
        <v>5.0</v>
      </c>
      <c r="I52" s="76">
        <v>10.0</v>
      </c>
      <c r="J52" s="76">
        <f t="shared" si="42"/>
        <v>11.7</v>
      </c>
      <c r="K52" s="56" t="s">
        <v>20</v>
      </c>
      <c r="L52" s="58">
        <v>55.0</v>
      </c>
      <c r="M52" s="58">
        <v>1.0</v>
      </c>
      <c r="N52" s="59">
        <f t="shared" si="43"/>
        <v>12.87</v>
      </c>
      <c r="O52" s="60" t="s">
        <v>19</v>
      </c>
      <c r="P52" s="61">
        <v>40.0</v>
      </c>
      <c r="Q52" s="61"/>
      <c r="R52" s="61">
        <f t="shared" si="44"/>
        <v>0</v>
      </c>
      <c r="S52" s="61" t="s">
        <v>19</v>
      </c>
      <c r="T52" s="62">
        <v>45.0</v>
      </c>
      <c r="U52" s="63">
        <v>1.0</v>
      </c>
      <c r="V52" s="64">
        <f t="shared" si="45"/>
        <v>10.53</v>
      </c>
      <c r="W52" s="65" t="s">
        <v>19</v>
      </c>
      <c r="X52" s="66">
        <v>45.0</v>
      </c>
      <c r="Y52" s="67">
        <v>1.0</v>
      </c>
      <c r="Z52" s="68">
        <f t="shared" si="46"/>
        <v>10.53</v>
      </c>
      <c r="AA52" s="69" t="s">
        <v>19</v>
      </c>
      <c r="AB52" s="70">
        <v>220.0</v>
      </c>
      <c r="AC52" s="70">
        <v>1.0</v>
      </c>
      <c r="AD52" s="165">
        <f t="shared" si="47"/>
        <v>51.48</v>
      </c>
      <c r="AE52" s="72" t="s">
        <v>19</v>
      </c>
      <c r="AF52" s="73"/>
      <c r="AG52" s="73"/>
      <c r="AH52" s="73"/>
      <c r="AI52" s="73" t="s">
        <v>19</v>
      </c>
      <c r="AJ52" s="74"/>
      <c r="AK52" s="74"/>
      <c r="AL52" s="74"/>
      <c r="AM52" s="75" t="s">
        <v>19</v>
      </c>
      <c r="AN52" s="76"/>
      <c r="AO52" s="76"/>
      <c r="AP52" s="76"/>
      <c r="AQ52" s="76" t="s">
        <v>19</v>
      </c>
    </row>
    <row r="53" ht="15.75" customHeight="1">
      <c r="A53" s="77" t="s">
        <v>23</v>
      </c>
      <c r="B53" s="78">
        <v>2.0</v>
      </c>
      <c r="C53" s="79">
        <v>257.0</v>
      </c>
      <c r="D53" s="80">
        <v>5.0</v>
      </c>
      <c r="E53" s="80">
        <v>10.0</v>
      </c>
      <c r="F53" s="155">
        <f t="shared" si="41"/>
        <v>12.85</v>
      </c>
      <c r="G53" s="54" t="s">
        <v>19</v>
      </c>
      <c r="H53" s="76">
        <v>5.0</v>
      </c>
      <c r="I53" s="76">
        <v>5.0</v>
      </c>
      <c r="J53" s="76">
        <f t="shared" si="42"/>
        <v>6.425</v>
      </c>
      <c r="K53" s="56" t="s">
        <v>20</v>
      </c>
      <c r="L53" s="58">
        <v>60.0</v>
      </c>
      <c r="M53" s="82">
        <v>1.0</v>
      </c>
      <c r="N53" s="59">
        <f t="shared" si="43"/>
        <v>15.42</v>
      </c>
      <c r="O53" s="60" t="s">
        <v>19</v>
      </c>
      <c r="P53" s="61">
        <v>45.0</v>
      </c>
      <c r="Q53" s="61">
        <v>1.0</v>
      </c>
      <c r="R53" s="61">
        <f t="shared" si="44"/>
        <v>11.565</v>
      </c>
      <c r="S53" s="61" t="s">
        <v>19</v>
      </c>
      <c r="T53" s="62">
        <v>45.0</v>
      </c>
      <c r="U53" s="63"/>
      <c r="V53" s="64">
        <f t="shared" si="45"/>
        <v>0</v>
      </c>
      <c r="W53" s="65" t="s">
        <v>19</v>
      </c>
      <c r="X53" s="66">
        <v>45.0</v>
      </c>
      <c r="Y53" s="67"/>
      <c r="Z53" s="68">
        <f t="shared" si="46"/>
        <v>0</v>
      </c>
      <c r="AA53" s="69" t="s">
        <v>19</v>
      </c>
      <c r="AB53" s="70">
        <v>220.0</v>
      </c>
      <c r="AC53" s="70"/>
      <c r="AD53" s="165">
        <f t="shared" si="47"/>
        <v>0</v>
      </c>
      <c r="AE53" s="72" t="s">
        <v>19</v>
      </c>
      <c r="AF53" s="100"/>
      <c r="AG53" s="100"/>
      <c r="AH53" s="100"/>
      <c r="AI53" s="73" t="s">
        <v>19</v>
      </c>
      <c r="AJ53" s="74"/>
      <c r="AK53" s="74"/>
      <c r="AL53" s="74"/>
      <c r="AM53" s="75" t="s">
        <v>19</v>
      </c>
      <c r="AN53" s="76"/>
      <c r="AO53" s="76"/>
      <c r="AP53" s="76"/>
      <c r="AQ53" s="76" t="s">
        <v>19</v>
      </c>
    </row>
    <row r="54" ht="15.75" customHeight="1">
      <c r="A54" s="129" t="s">
        <v>24</v>
      </c>
      <c r="B54" s="130">
        <f t="shared" ref="B54:C54" si="48">SUM(B49:B53)</f>
        <v>31</v>
      </c>
      <c r="C54" s="130">
        <f t="shared" si="48"/>
        <v>13627</v>
      </c>
      <c r="D54" s="131"/>
      <c r="E54" s="131"/>
      <c r="F54" s="99">
        <f>SUM(F49:F53)</f>
        <v>332.9</v>
      </c>
      <c r="G54" s="131"/>
      <c r="H54" s="134"/>
      <c r="I54" s="135"/>
      <c r="J54" s="130">
        <f>SUM(J49+J50+J51+J52+J53)</f>
        <v>574.05</v>
      </c>
      <c r="K54" s="135"/>
      <c r="L54" s="166"/>
      <c r="M54" s="82"/>
      <c r="N54" s="99">
        <f>SUM(N49:N53)</f>
        <v>800.285</v>
      </c>
      <c r="O54" s="166"/>
      <c r="P54" s="154"/>
      <c r="Q54" s="154"/>
      <c r="R54" s="140">
        <f>SUM(R49+R50+R51+R52+R53)</f>
        <v>457.2</v>
      </c>
      <c r="S54" s="154"/>
      <c r="T54" s="142"/>
      <c r="U54" s="142"/>
      <c r="V54" s="99">
        <f>SUM(V49:V53)</f>
        <v>156.015</v>
      </c>
      <c r="W54" s="142"/>
      <c r="X54" s="95"/>
      <c r="Y54" s="95"/>
      <c r="Z54" s="167">
        <f>SUM(Z49:Z53)</f>
        <v>156.015</v>
      </c>
      <c r="AA54" s="95"/>
      <c r="AB54" s="98"/>
      <c r="AC54" s="98"/>
      <c r="AD54" s="144">
        <f>SUM(AD49:AD53)</f>
        <v>762.74</v>
      </c>
      <c r="AE54" s="98"/>
      <c r="AF54" s="100"/>
      <c r="AG54" s="100"/>
      <c r="AH54" s="101"/>
      <c r="AI54" s="100"/>
      <c r="AJ54" s="102"/>
      <c r="AK54" s="102"/>
      <c r="AL54" s="101"/>
      <c r="AM54" s="102"/>
      <c r="AN54" s="135"/>
      <c r="AO54" s="135"/>
      <c r="AP54" s="101"/>
      <c r="AQ54" s="135"/>
    </row>
    <row r="55" ht="15.75" customHeight="1">
      <c r="A55" s="147"/>
      <c r="B55" s="147"/>
      <c r="C55" s="147"/>
      <c r="D55" s="147"/>
      <c r="E55" s="147"/>
      <c r="F55" s="147"/>
      <c r="G55" s="147"/>
      <c r="H55" s="168"/>
      <c r="I55" s="147"/>
      <c r="J55" s="168"/>
      <c r="K55" s="147"/>
      <c r="L55" s="169"/>
      <c r="M55" s="170"/>
      <c r="N55" s="171"/>
      <c r="O55" s="169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</row>
    <row r="56" ht="15.75" customHeight="1">
      <c r="A56" s="5" t="s">
        <v>45</v>
      </c>
      <c r="B56" s="6"/>
      <c r="C56" s="6"/>
      <c r="D56" s="12"/>
      <c r="E56" s="12"/>
      <c r="F56" s="12"/>
      <c r="G56" s="12"/>
      <c r="H56" s="158"/>
      <c r="I56" s="12"/>
      <c r="J56" s="158"/>
      <c r="K56" s="12"/>
      <c r="L56" s="159"/>
      <c r="M56" s="160"/>
      <c r="N56" s="159"/>
      <c r="O56" s="159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</row>
    <row r="57" ht="15.75" customHeight="1">
      <c r="A57" s="14"/>
      <c r="B57" s="15"/>
      <c r="C57" s="105"/>
      <c r="D57" s="17" t="s">
        <v>1</v>
      </c>
      <c r="E57" s="18"/>
      <c r="F57" s="18"/>
      <c r="G57" s="15"/>
      <c r="H57" s="19" t="s">
        <v>2</v>
      </c>
      <c r="I57" s="18"/>
      <c r="J57" s="18"/>
      <c r="K57" s="15"/>
      <c r="L57" s="161" t="s">
        <v>3</v>
      </c>
      <c r="M57" s="18"/>
      <c r="N57" s="18"/>
      <c r="O57" s="15"/>
      <c r="P57" s="21" t="s">
        <v>4</v>
      </c>
      <c r="Q57" s="18"/>
      <c r="R57" s="18"/>
      <c r="S57" s="15"/>
      <c r="T57" s="22" t="s">
        <v>5</v>
      </c>
      <c r="U57" s="18"/>
      <c r="V57" s="18"/>
      <c r="W57" s="15"/>
      <c r="X57" s="23" t="s">
        <v>6</v>
      </c>
      <c r="Y57" s="18"/>
      <c r="Z57" s="18"/>
      <c r="AA57" s="15"/>
      <c r="AB57" s="24" t="s">
        <v>7</v>
      </c>
      <c r="AC57" s="18"/>
      <c r="AD57" s="18"/>
      <c r="AE57" s="15"/>
      <c r="AF57" s="25" t="s">
        <v>8</v>
      </c>
      <c r="AG57" s="18"/>
      <c r="AH57" s="18"/>
      <c r="AI57" s="15"/>
      <c r="AJ57" s="26" t="s">
        <v>9</v>
      </c>
      <c r="AK57" s="18"/>
      <c r="AL57" s="18"/>
      <c r="AM57" s="15"/>
      <c r="AN57" s="19" t="s">
        <v>10</v>
      </c>
      <c r="AO57" s="18"/>
      <c r="AP57" s="18"/>
      <c r="AQ57" s="15"/>
    </row>
    <row r="58" ht="15.75" customHeight="1">
      <c r="A58" s="27" t="s">
        <v>11</v>
      </c>
      <c r="B58" s="28" t="s">
        <v>12</v>
      </c>
      <c r="C58" s="28" t="s">
        <v>13</v>
      </c>
      <c r="D58" s="29" t="s">
        <v>14</v>
      </c>
      <c r="E58" s="30" t="s">
        <v>15</v>
      </c>
      <c r="F58" s="30" t="s">
        <v>16</v>
      </c>
      <c r="G58" s="30" t="s">
        <v>17</v>
      </c>
      <c r="H58" s="31" t="s">
        <v>14</v>
      </c>
      <c r="I58" s="32" t="s">
        <v>15</v>
      </c>
      <c r="J58" s="32" t="s">
        <v>16</v>
      </c>
      <c r="K58" s="32" t="s">
        <v>17</v>
      </c>
      <c r="L58" s="162" t="s">
        <v>14</v>
      </c>
      <c r="M58" s="34" t="s">
        <v>15</v>
      </c>
      <c r="N58" s="34" t="s">
        <v>16</v>
      </c>
      <c r="O58" s="34" t="s">
        <v>17</v>
      </c>
      <c r="P58" s="35" t="s">
        <v>14</v>
      </c>
      <c r="Q58" s="36" t="s">
        <v>15</v>
      </c>
      <c r="R58" s="36" t="s">
        <v>16</v>
      </c>
      <c r="S58" s="36" t="s">
        <v>17</v>
      </c>
      <c r="T58" s="37" t="s">
        <v>14</v>
      </c>
      <c r="U58" s="38" t="s">
        <v>15</v>
      </c>
      <c r="V58" s="38" t="s">
        <v>16</v>
      </c>
      <c r="W58" s="38" t="s">
        <v>17</v>
      </c>
      <c r="X58" s="125" t="s">
        <v>14</v>
      </c>
      <c r="Y58" s="126" t="s">
        <v>15</v>
      </c>
      <c r="Z58" s="127" t="s">
        <v>16</v>
      </c>
      <c r="AA58" s="127" t="s">
        <v>17</v>
      </c>
      <c r="AB58" s="163" t="s">
        <v>14</v>
      </c>
      <c r="AC58" s="164" t="s">
        <v>15</v>
      </c>
      <c r="AD58" s="44" t="s">
        <v>16</v>
      </c>
      <c r="AE58" s="44" t="s">
        <v>17</v>
      </c>
      <c r="AF58" s="45" t="s">
        <v>46</v>
      </c>
      <c r="AG58" s="45" t="s">
        <v>15</v>
      </c>
      <c r="AH58" s="45" t="s">
        <v>16</v>
      </c>
      <c r="AI58" s="45" t="s">
        <v>17</v>
      </c>
      <c r="AJ58" s="46" t="s">
        <v>14</v>
      </c>
      <c r="AK58" s="46" t="s">
        <v>15</v>
      </c>
      <c r="AL58" s="46" t="s">
        <v>16</v>
      </c>
      <c r="AM58" s="26" t="s">
        <v>17</v>
      </c>
      <c r="AN58" s="47" t="s">
        <v>14</v>
      </c>
      <c r="AO58" s="48" t="s">
        <v>15</v>
      </c>
      <c r="AP58" s="49" t="s">
        <v>16</v>
      </c>
      <c r="AQ58" s="49" t="s">
        <v>17</v>
      </c>
    </row>
    <row r="59" ht="15.75" customHeight="1">
      <c r="A59" s="77" t="s">
        <v>47</v>
      </c>
      <c r="B59" s="78">
        <v>16.0</v>
      </c>
      <c r="C59" s="79">
        <v>3687.0</v>
      </c>
      <c r="D59" s="80">
        <v>5.0</v>
      </c>
      <c r="E59" s="80">
        <v>20.0</v>
      </c>
      <c r="F59" s="155">
        <f t="shared" ref="F59:F61" si="49">D59*E59*C59/1000</f>
        <v>368.7</v>
      </c>
      <c r="G59" s="54" t="s">
        <v>19</v>
      </c>
      <c r="H59" s="76">
        <v>5.0</v>
      </c>
      <c r="I59" s="76">
        <v>20.0</v>
      </c>
      <c r="J59" s="76">
        <f t="shared" ref="J59:J61" si="50">H59*I59*C59/1000</f>
        <v>368.7</v>
      </c>
      <c r="K59" s="56" t="s">
        <v>20</v>
      </c>
      <c r="L59" s="58">
        <v>55.0</v>
      </c>
      <c r="M59" s="58">
        <v>1.0</v>
      </c>
      <c r="N59" s="59">
        <f t="shared" ref="N59:N61" si="51">L59*M59*C59/1000</f>
        <v>202.785</v>
      </c>
      <c r="O59" s="60" t="s">
        <v>19</v>
      </c>
      <c r="P59" s="61">
        <v>40.0</v>
      </c>
      <c r="Q59" s="61"/>
      <c r="R59" s="61">
        <f t="shared" ref="R59:R61" si="52">P59*Q59*C59/1000</f>
        <v>0</v>
      </c>
      <c r="S59" s="61" t="s">
        <v>19</v>
      </c>
      <c r="T59" s="62">
        <v>45.0</v>
      </c>
      <c r="U59" s="63">
        <v>1.0</v>
      </c>
      <c r="V59" s="64">
        <f t="shared" ref="V59:V61" si="53">T59*U59*C59/1000</f>
        <v>165.915</v>
      </c>
      <c r="W59" s="63" t="s">
        <v>19</v>
      </c>
      <c r="X59" s="66">
        <v>45.0</v>
      </c>
      <c r="Y59" s="67">
        <v>1.0</v>
      </c>
      <c r="Z59" s="68">
        <f t="shared" ref="Z59:Z61" si="54">X59*Y59*C59/1000</f>
        <v>165.915</v>
      </c>
      <c r="AA59" s="69" t="s">
        <v>19</v>
      </c>
      <c r="AB59" s="70">
        <v>220.0</v>
      </c>
      <c r="AC59" s="70">
        <v>1.0</v>
      </c>
      <c r="AD59" s="165">
        <f t="shared" ref="AD59:AD61" si="55">AB59*AC59*C59/1000</f>
        <v>811.14</v>
      </c>
      <c r="AE59" s="72" t="s">
        <v>19</v>
      </c>
      <c r="AF59" s="73"/>
      <c r="AG59" s="73"/>
      <c r="AH59" s="73"/>
      <c r="AI59" s="73" t="s">
        <v>19</v>
      </c>
      <c r="AJ59" s="74"/>
      <c r="AK59" s="74"/>
      <c r="AL59" s="74"/>
      <c r="AM59" s="172" t="s">
        <v>19</v>
      </c>
      <c r="AN59" s="76"/>
      <c r="AO59" s="76"/>
      <c r="AP59" s="76"/>
      <c r="AQ59" s="76" t="s">
        <v>19</v>
      </c>
    </row>
    <row r="60" ht="15.75" customHeight="1">
      <c r="A60" s="77" t="s">
        <v>27</v>
      </c>
      <c r="B60" s="78">
        <v>13.0</v>
      </c>
      <c r="C60" s="79">
        <v>12386.0</v>
      </c>
      <c r="D60" s="80">
        <v>5.0</v>
      </c>
      <c r="E60" s="80"/>
      <c r="F60" s="155">
        <f t="shared" si="49"/>
        <v>0</v>
      </c>
      <c r="G60" s="54" t="s">
        <v>19</v>
      </c>
      <c r="H60" s="76">
        <v>5.0</v>
      </c>
      <c r="I60" s="76">
        <v>5.0</v>
      </c>
      <c r="J60" s="76">
        <f t="shared" si="50"/>
        <v>309.65</v>
      </c>
      <c r="K60" s="56" t="s">
        <v>20</v>
      </c>
      <c r="L60" s="58">
        <v>60.0</v>
      </c>
      <c r="M60" s="58">
        <v>1.0</v>
      </c>
      <c r="N60" s="59">
        <f t="shared" si="51"/>
        <v>743.16</v>
      </c>
      <c r="O60" s="60" t="s">
        <v>19</v>
      </c>
      <c r="P60" s="61">
        <v>45.0</v>
      </c>
      <c r="Q60" s="61">
        <v>1.0</v>
      </c>
      <c r="R60" s="61">
        <f t="shared" si="52"/>
        <v>557.37</v>
      </c>
      <c r="S60" s="61" t="s">
        <v>19</v>
      </c>
      <c r="T60" s="62">
        <v>45.0</v>
      </c>
      <c r="U60" s="63"/>
      <c r="V60" s="64">
        <f t="shared" si="53"/>
        <v>0</v>
      </c>
      <c r="W60" s="63" t="s">
        <v>19</v>
      </c>
      <c r="X60" s="66">
        <v>45.0</v>
      </c>
      <c r="Y60" s="67"/>
      <c r="Z60" s="68">
        <f t="shared" si="54"/>
        <v>0</v>
      </c>
      <c r="AA60" s="69" t="s">
        <v>19</v>
      </c>
      <c r="AB60" s="70">
        <v>220.0</v>
      </c>
      <c r="AC60" s="70"/>
      <c r="AD60" s="165">
        <f t="shared" si="55"/>
        <v>0</v>
      </c>
      <c r="AE60" s="72" t="s">
        <v>19</v>
      </c>
      <c r="AF60" s="73"/>
      <c r="AG60" s="73"/>
      <c r="AH60" s="73"/>
      <c r="AI60" s="73" t="s">
        <v>19</v>
      </c>
      <c r="AJ60" s="74"/>
      <c r="AK60" s="74"/>
      <c r="AL60" s="74"/>
      <c r="AM60" s="172" t="s">
        <v>19</v>
      </c>
      <c r="AN60" s="76"/>
      <c r="AO60" s="76"/>
      <c r="AP60" s="76"/>
      <c r="AQ60" s="76" t="s">
        <v>19</v>
      </c>
    </row>
    <row r="61" ht="15.75" customHeight="1">
      <c r="A61" s="77" t="s">
        <v>23</v>
      </c>
      <c r="B61" s="78">
        <v>3.0</v>
      </c>
      <c r="C61" s="79">
        <v>374.0</v>
      </c>
      <c r="D61" s="80">
        <v>5.0</v>
      </c>
      <c r="E61" s="80">
        <v>10.0</v>
      </c>
      <c r="F61" s="155">
        <f t="shared" si="49"/>
        <v>18.7</v>
      </c>
      <c r="G61" s="54" t="s">
        <v>19</v>
      </c>
      <c r="H61" s="76">
        <v>5.0</v>
      </c>
      <c r="I61" s="76">
        <v>10.0</v>
      </c>
      <c r="J61" s="76">
        <f t="shared" si="50"/>
        <v>18.7</v>
      </c>
      <c r="K61" s="56" t="s">
        <v>20</v>
      </c>
      <c r="L61" s="58">
        <v>60.0</v>
      </c>
      <c r="M61" s="82">
        <v>1.0</v>
      </c>
      <c r="N61" s="59">
        <f t="shared" si="51"/>
        <v>22.44</v>
      </c>
      <c r="O61" s="60" t="s">
        <v>19</v>
      </c>
      <c r="P61" s="61">
        <v>45.0</v>
      </c>
      <c r="Q61" s="61">
        <v>1.0</v>
      </c>
      <c r="R61" s="61">
        <f t="shared" si="52"/>
        <v>16.83</v>
      </c>
      <c r="S61" s="61" t="s">
        <v>19</v>
      </c>
      <c r="T61" s="62">
        <v>45.0</v>
      </c>
      <c r="U61" s="63"/>
      <c r="V61" s="64">
        <f t="shared" si="53"/>
        <v>0</v>
      </c>
      <c r="W61" s="63" t="s">
        <v>19</v>
      </c>
      <c r="X61" s="66">
        <v>45.0</v>
      </c>
      <c r="Y61" s="67"/>
      <c r="Z61" s="68">
        <f t="shared" si="54"/>
        <v>0</v>
      </c>
      <c r="AA61" s="69" t="s">
        <v>19</v>
      </c>
      <c r="AB61" s="70">
        <v>220.0</v>
      </c>
      <c r="AC61" s="70"/>
      <c r="AD61" s="165">
        <f t="shared" si="55"/>
        <v>0</v>
      </c>
      <c r="AE61" s="72" t="s">
        <v>19</v>
      </c>
      <c r="AF61" s="73"/>
      <c r="AG61" s="73"/>
      <c r="AH61" s="73"/>
      <c r="AI61" s="73" t="s">
        <v>19</v>
      </c>
      <c r="AJ61" s="74"/>
      <c r="AK61" s="74"/>
      <c r="AL61" s="74"/>
      <c r="AM61" s="172" t="s">
        <v>19</v>
      </c>
      <c r="AN61" s="76"/>
      <c r="AO61" s="76"/>
      <c r="AP61" s="76"/>
      <c r="AQ61" s="76" t="s">
        <v>19</v>
      </c>
    </row>
    <row r="62" ht="15.75" customHeight="1">
      <c r="A62" s="129" t="s">
        <v>24</v>
      </c>
      <c r="B62" s="130">
        <f t="shared" ref="B62:C62" si="56">SUM(B59:B61)</f>
        <v>32</v>
      </c>
      <c r="C62" s="130">
        <f t="shared" si="56"/>
        <v>16447</v>
      </c>
      <c r="D62" s="131"/>
      <c r="E62" s="131"/>
      <c r="F62" s="99">
        <f>SUM(F59:F61)</f>
        <v>387.4</v>
      </c>
      <c r="G62" s="131"/>
      <c r="H62" s="134"/>
      <c r="I62" s="135"/>
      <c r="J62" s="136">
        <f>SUM(J59+J60+J61)</f>
        <v>697.05</v>
      </c>
      <c r="K62" s="135"/>
      <c r="L62" s="166"/>
      <c r="M62" s="82"/>
      <c r="N62" s="99">
        <f>SUM(N59:N61)</f>
        <v>968.385</v>
      </c>
      <c r="O62" s="166"/>
      <c r="P62" s="139"/>
      <c r="Q62" s="139"/>
      <c r="R62" s="140">
        <f>SUM(R59+R60+R61)</f>
        <v>574.2</v>
      </c>
      <c r="S62" s="139"/>
      <c r="T62" s="141"/>
      <c r="U62" s="142"/>
      <c r="V62" s="99">
        <f>SUM(V59:V61)</f>
        <v>165.915</v>
      </c>
      <c r="W62" s="141"/>
      <c r="X62" s="143"/>
      <c r="Y62" s="143"/>
      <c r="Z62" s="144">
        <f>SUM(Z59:Z61)</f>
        <v>165.915</v>
      </c>
      <c r="AA62" s="143"/>
      <c r="AB62" s="98"/>
      <c r="AC62" s="98"/>
      <c r="AD62" s="144">
        <f>SUM(AD59:AD61)</f>
        <v>811.14</v>
      </c>
      <c r="AE62" s="98"/>
      <c r="AF62" s="100"/>
      <c r="AG62" s="100"/>
      <c r="AH62" s="101"/>
      <c r="AI62" s="100"/>
      <c r="AJ62" s="102"/>
      <c r="AK62" s="102"/>
      <c r="AL62" s="101"/>
      <c r="AM62" s="173"/>
      <c r="AN62" s="135"/>
      <c r="AO62" s="135"/>
      <c r="AP62" s="101"/>
      <c r="AQ62" s="135"/>
    </row>
    <row r="63" ht="15.75" customHeight="1">
      <c r="A63" s="147"/>
      <c r="B63" s="147"/>
      <c r="C63" s="147"/>
      <c r="D63" s="147"/>
      <c r="E63" s="147"/>
      <c r="F63" s="147"/>
      <c r="G63" s="147"/>
      <c r="H63" s="168"/>
      <c r="I63" s="147"/>
      <c r="J63" s="174"/>
      <c r="K63" s="147"/>
      <c r="L63" s="175"/>
      <c r="M63" s="176"/>
      <c r="N63" s="175"/>
      <c r="O63" s="175"/>
      <c r="P63" s="112"/>
      <c r="Q63" s="112"/>
      <c r="R63" s="112"/>
      <c r="S63" s="112"/>
      <c r="T63" s="1"/>
      <c r="U63" s="1"/>
      <c r="V63" s="1"/>
      <c r="W63" s="1"/>
      <c r="X63" s="1"/>
      <c r="Y63" s="1"/>
      <c r="Z63" s="1"/>
      <c r="AA63" s="112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15.75" customHeight="1">
      <c r="A64" s="177" t="s">
        <v>48</v>
      </c>
      <c r="B64" s="178">
        <f t="shared" ref="B64:C64" si="57">B9+B18+B27+B35+B44+B54+B62</f>
        <v>233</v>
      </c>
      <c r="C64" s="178">
        <f t="shared" si="57"/>
        <v>112402</v>
      </c>
      <c r="D64" s="179"/>
      <c r="E64" s="179"/>
      <c r="F64" s="180">
        <f>F9+F18+F27+F35+F44+F54+F62</f>
        <v>2652.75</v>
      </c>
      <c r="G64" s="179"/>
      <c r="H64" s="181"/>
      <c r="I64" s="182"/>
      <c r="J64" s="99">
        <f>J9+J18+J27+J35+J44+J54+J62</f>
        <v>4899.4</v>
      </c>
      <c r="K64" s="183"/>
      <c r="L64" s="184"/>
      <c r="M64" s="185"/>
      <c r="N64" s="180">
        <f>N9+N18+N27+N35+N44+N54+N62</f>
        <v>6615.695</v>
      </c>
      <c r="O64" s="184"/>
      <c r="P64" s="179"/>
      <c r="Q64" s="182"/>
      <c r="R64" s="186">
        <f>SUM(R9+R18+R27+R35+R44+R54+R62)</f>
        <v>3902.265</v>
      </c>
      <c r="S64" s="183"/>
      <c r="T64" s="179"/>
      <c r="U64" s="179"/>
      <c r="V64" s="180">
        <f>V9+V18+V27+V35+V44+V54+V62</f>
        <v>1155.825</v>
      </c>
      <c r="W64" s="179"/>
      <c r="X64" s="179"/>
      <c r="Y64" s="179"/>
      <c r="Z64" s="180">
        <f>Z9+Z18+Z27+Z35+Z44+Z54+Z62</f>
        <v>1155.825</v>
      </c>
      <c r="AA64" s="179"/>
      <c r="AB64" s="179"/>
      <c r="AC64" s="179"/>
      <c r="AD64" s="187">
        <f>AD9+AD18+AD27+AD35+AD44+AD54+AD62</f>
        <v>5650.7</v>
      </c>
      <c r="AE64" s="179"/>
      <c r="AF64" s="188"/>
      <c r="AG64" s="188"/>
      <c r="AH64" s="189"/>
      <c r="AI64" s="188"/>
      <c r="AJ64" s="188"/>
      <c r="AK64" s="188"/>
      <c r="AL64" s="189"/>
      <c r="AM64" s="188"/>
      <c r="AN64" s="188"/>
      <c r="AO64" s="188"/>
      <c r="AP64" s="189"/>
      <c r="AQ64" s="188"/>
    </row>
    <row r="65" ht="15.75" customHeight="1">
      <c r="H65" s="190"/>
      <c r="J65" s="190" t="s">
        <v>49</v>
      </c>
      <c r="M65" s="190"/>
    </row>
    <row r="66" ht="15.75" customHeight="1">
      <c r="H66" s="190"/>
      <c r="J66" s="190"/>
      <c r="M66" s="190"/>
    </row>
    <row r="67" ht="15.75" customHeight="1">
      <c r="H67" s="190"/>
      <c r="J67" s="190"/>
      <c r="M67" s="190"/>
    </row>
    <row r="68" ht="15.75" customHeight="1">
      <c r="H68" s="190"/>
      <c r="J68" s="190"/>
      <c r="M68" s="190"/>
    </row>
    <row r="69" ht="15.75" customHeight="1">
      <c r="H69" s="190"/>
      <c r="J69" s="190"/>
      <c r="M69" s="190"/>
    </row>
    <row r="70" ht="15.75" customHeight="1">
      <c r="H70" s="190"/>
      <c r="J70" s="190"/>
      <c r="M70" s="190"/>
    </row>
    <row r="71" ht="15.75" customHeight="1">
      <c r="H71" s="190"/>
      <c r="J71" s="190"/>
      <c r="M71" s="190"/>
    </row>
    <row r="72" ht="15.75" customHeight="1">
      <c r="H72" s="190"/>
      <c r="J72" s="190"/>
      <c r="M72" s="190"/>
    </row>
    <row r="73" ht="15.75" customHeight="1">
      <c r="H73" s="190"/>
      <c r="J73" s="190"/>
      <c r="M73" s="190"/>
    </row>
    <row r="74" ht="15.75" customHeight="1">
      <c r="H74" s="190"/>
      <c r="J74" s="190"/>
      <c r="M74" s="190"/>
    </row>
    <row r="75" ht="15.75" customHeight="1">
      <c r="H75" s="190"/>
      <c r="J75" s="190"/>
      <c r="M75" s="190"/>
    </row>
    <row r="76" ht="15.75" customHeight="1">
      <c r="H76" s="190"/>
      <c r="J76" s="190"/>
      <c r="M76" s="190"/>
    </row>
    <row r="77" ht="15.75" customHeight="1">
      <c r="H77" s="190"/>
      <c r="J77" s="190"/>
      <c r="M77" s="190"/>
    </row>
    <row r="78" ht="15.75" customHeight="1">
      <c r="H78" s="190"/>
      <c r="J78" s="190"/>
      <c r="M78" s="190"/>
    </row>
    <row r="79" ht="15.75" customHeight="1">
      <c r="H79" s="190"/>
      <c r="J79" s="190"/>
      <c r="M79" s="190"/>
    </row>
    <row r="80" ht="15.75" customHeight="1">
      <c r="H80" s="190"/>
      <c r="J80" s="190"/>
      <c r="M80" s="190"/>
    </row>
    <row r="81" ht="15.75" customHeight="1">
      <c r="H81" s="190"/>
      <c r="J81" s="190"/>
      <c r="M81" s="190"/>
    </row>
    <row r="82" ht="15.75" customHeight="1">
      <c r="H82" s="190"/>
      <c r="J82" s="190"/>
      <c r="M82" s="190"/>
    </row>
    <row r="83" ht="15.75" customHeight="1">
      <c r="H83" s="190"/>
      <c r="J83" s="190"/>
      <c r="M83" s="190"/>
    </row>
    <row r="84" ht="15.75" customHeight="1">
      <c r="H84" s="190"/>
      <c r="J84" s="190"/>
      <c r="M84" s="190"/>
    </row>
    <row r="85" ht="15.75" customHeight="1">
      <c r="H85" s="190"/>
      <c r="J85" s="190"/>
      <c r="M85" s="190"/>
    </row>
    <row r="86" ht="15.75" customHeight="1">
      <c r="H86" s="190"/>
      <c r="J86" s="190"/>
      <c r="M86" s="190"/>
    </row>
    <row r="87" ht="15.75" customHeight="1">
      <c r="H87" s="190"/>
      <c r="J87" s="190"/>
      <c r="M87" s="190"/>
    </row>
    <row r="88" ht="15.75" customHeight="1">
      <c r="H88" s="190"/>
      <c r="J88" s="190"/>
      <c r="M88" s="190"/>
    </row>
    <row r="89" ht="15.75" customHeight="1">
      <c r="H89" s="190"/>
      <c r="J89" s="190"/>
      <c r="M89" s="190"/>
    </row>
    <row r="90" ht="15.75" customHeight="1">
      <c r="H90" s="190"/>
      <c r="J90" s="190"/>
      <c r="M90" s="190"/>
    </row>
    <row r="91" ht="15.75" customHeight="1">
      <c r="H91" s="190"/>
      <c r="J91" s="190"/>
      <c r="M91" s="190"/>
    </row>
    <row r="92" ht="15.75" customHeight="1">
      <c r="H92" s="190"/>
      <c r="J92" s="190"/>
      <c r="M92" s="190"/>
    </row>
    <row r="93" ht="15.75" customHeight="1">
      <c r="H93" s="190"/>
      <c r="J93" s="190"/>
      <c r="M93" s="190"/>
    </row>
    <row r="94" ht="15.75" customHeight="1">
      <c r="H94" s="190"/>
      <c r="J94" s="190"/>
      <c r="M94" s="190"/>
    </row>
    <row r="95" ht="15.75" customHeight="1">
      <c r="H95" s="190"/>
      <c r="J95" s="190"/>
      <c r="M95" s="190"/>
    </row>
    <row r="96" ht="15.75" customHeight="1">
      <c r="H96" s="190"/>
      <c r="J96" s="190"/>
      <c r="M96" s="190"/>
    </row>
    <row r="97" ht="15.75" customHeight="1">
      <c r="H97" s="190"/>
      <c r="J97" s="190"/>
      <c r="M97" s="190"/>
    </row>
    <row r="98" ht="15.75" customHeight="1">
      <c r="H98" s="190"/>
      <c r="J98" s="190"/>
      <c r="M98" s="190"/>
    </row>
    <row r="99" ht="15.75" customHeight="1">
      <c r="H99" s="190"/>
      <c r="J99" s="190"/>
      <c r="M99" s="190"/>
    </row>
    <row r="100" ht="15.75" customHeight="1">
      <c r="H100" s="190"/>
      <c r="J100" s="190"/>
      <c r="M100" s="190"/>
    </row>
    <row r="101" ht="15.75" customHeight="1">
      <c r="H101" s="190"/>
      <c r="J101" s="190"/>
      <c r="M101" s="190"/>
    </row>
    <row r="102" ht="15.75" customHeight="1">
      <c r="H102" s="190"/>
      <c r="J102" s="190"/>
      <c r="M102" s="190"/>
    </row>
    <row r="103" ht="15.75" customHeight="1">
      <c r="H103" s="190"/>
      <c r="J103" s="190"/>
      <c r="M103" s="190"/>
    </row>
    <row r="104" ht="15.75" customHeight="1">
      <c r="H104" s="190"/>
      <c r="J104" s="190"/>
      <c r="M104" s="190"/>
    </row>
    <row r="105" ht="15.75" customHeight="1">
      <c r="H105" s="190"/>
      <c r="J105" s="190"/>
      <c r="M105" s="190"/>
    </row>
    <row r="106" ht="15.75" customHeight="1">
      <c r="H106" s="190"/>
      <c r="J106" s="190"/>
      <c r="M106" s="190"/>
    </row>
    <row r="107" ht="15.75" customHeight="1">
      <c r="H107" s="190"/>
      <c r="J107" s="190"/>
      <c r="M107" s="190"/>
    </row>
    <row r="108" ht="15.75" customHeight="1">
      <c r="H108" s="190"/>
      <c r="J108" s="190"/>
      <c r="M108" s="190"/>
    </row>
    <row r="109" ht="15.75" customHeight="1">
      <c r="H109" s="190"/>
      <c r="J109" s="190"/>
      <c r="M109" s="190"/>
    </row>
    <row r="110" ht="15.75" customHeight="1">
      <c r="H110" s="190"/>
      <c r="J110" s="190"/>
      <c r="M110" s="190"/>
    </row>
    <row r="111" ht="15.75" customHeight="1">
      <c r="H111" s="190"/>
      <c r="J111" s="190"/>
      <c r="M111" s="190"/>
    </row>
    <row r="112" ht="15.75" customHeight="1">
      <c r="H112" s="190"/>
      <c r="J112" s="190"/>
      <c r="M112" s="190"/>
    </row>
    <row r="113" ht="15.75" customHeight="1">
      <c r="H113" s="190"/>
      <c r="J113" s="190"/>
      <c r="M113" s="190"/>
    </row>
    <row r="114" ht="15.75" customHeight="1">
      <c r="H114" s="190"/>
      <c r="J114" s="190"/>
      <c r="M114" s="190"/>
    </row>
    <row r="115" ht="15.75" customHeight="1">
      <c r="H115" s="190"/>
      <c r="J115" s="190"/>
      <c r="M115" s="190"/>
    </row>
    <row r="116" ht="15.75" customHeight="1">
      <c r="H116" s="190"/>
      <c r="J116" s="190"/>
      <c r="M116" s="190"/>
    </row>
    <row r="117" ht="15.75" customHeight="1">
      <c r="H117" s="190"/>
      <c r="J117" s="190"/>
      <c r="M117" s="190"/>
    </row>
    <row r="118" ht="15.75" customHeight="1">
      <c r="H118" s="190"/>
      <c r="J118" s="190"/>
      <c r="M118" s="190"/>
    </row>
    <row r="119" ht="15.75" customHeight="1">
      <c r="H119" s="190"/>
      <c r="J119" s="190"/>
      <c r="M119" s="190"/>
    </row>
    <row r="120" ht="15.75" customHeight="1">
      <c r="H120" s="190"/>
      <c r="J120" s="190"/>
      <c r="M120" s="190"/>
    </row>
    <row r="121" ht="15.75" customHeight="1">
      <c r="H121" s="190"/>
      <c r="J121" s="190"/>
      <c r="M121" s="190"/>
    </row>
    <row r="122" ht="15.75" customHeight="1">
      <c r="H122" s="190"/>
      <c r="J122" s="190"/>
      <c r="M122" s="190"/>
    </row>
    <row r="123" ht="15.75" customHeight="1">
      <c r="H123" s="190"/>
      <c r="J123" s="190"/>
      <c r="M123" s="190"/>
    </row>
    <row r="124" ht="15.75" customHeight="1">
      <c r="H124" s="190"/>
      <c r="J124" s="190"/>
      <c r="M124" s="190"/>
    </row>
    <row r="125" ht="15.75" customHeight="1">
      <c r="H125" s="190"/>
      <c r="J125" s="190"/>
      <c r="M125" s="190"/>
    </row>
    <row r="126" ht="15.75" customHeight="1">
      <c r="H126" s="190"/>
      <c r="J126" s="190"/>
      <c r="M126" s="190"/>
    </row>
    <row r="127" ht="15.75" customHeight="1">
      <c r="H127" s="190"/>
      <c r="J127" s="190"/>
      <c r="M127" s="190"/>
    </row>
    <row r="128" ht="15.75" customHeight="1">
      <c r="H128" s="190"/>
      <c r="J128" s="190"/>
      <c r="M128" s="190"/>
    </row>
    <row r="129" ht="15.75" customHeight="1">
      <c r="H129" s="190"/>
      <c r="J129" s="190"/>
      <c r="M129" s="190"/>
    </row>
    <row r="130" ht="15.75" customHeight="1">
      <c r="H130" s="190"/>
      <c r="J130" s="190"/>
      <c r="M130" s="190"/>
    </row>
    <row r="131" ht="15.75" customHeight="1">
      <c r="H131" s="190"/>
      <c r="J131" s="190"/>
      <c r="M131" s="190"/>
    </row>
    <row r="132" ht="15.75" customHeight="1">
      <c r="H132" s="190"/>
      <c r="J132" s="190"/>
      <c r="M132" s="190"/>
    </row>
    <row r="133" ht="15.75" customHeight="1">
      <c r="H133" s="190"/>
      <c r="J133" s="190"/>
      <c r="M133" s="190"/>
    </row>
    <row r="134" ht="15.75" customHeight="1">
      <c r="H134" s="190"/>
      <c r="J134" s="190"/>
      <c r="M134" s="190"/>
    </row>
    <row r="135" ht="15.75" customHeight="1">
      <c r="H135" s="190"/>
      <c r="J135" s="190"/>
      <c r="M135" s="190"/>
    </row>
    <row r="136" ht="15.75" customHeight="1">
      <c r="H136" s="190"/>
      <c r="J136" s="190"/>
      <c r="M136" s="190"/>
    </row>
    <row r="137" ht="15.75" customHeight="1">
      <c r="H137" s="190"/>
      <c r="J137" s="190"/>
      <c r="M137" s="190"/>
    </row>
    <row r="138" ht="15.75" customHeight="1">
      <c r="H138" s="190"/>
      <c r="J138" s="190"/>
      <c r="M138" s="190"/>
    </row>
    <row r="139" ht="15.75" customHeight="1">
      <c r="H139" s="190"/>
      <c r="J139" s="190"/>
      <c r="M139" s="190"/>
    </row>
    <row r="140" ht="15.75" customHeight="1">
      <c r="H140" s="190"/>
      <c r="J140" s="190"/>
      <c r="M140" s="190"/>
    </row>
    <row r="141" ht="15.75" customHeight="1">
      <c r="H141" s="190"/>
      <c r="J141" s="190"/>
      <c r="M141" s="190"/>
    </row>
    <row r="142" ht="15.75" customHeight="1">
      <c r="H142" s="190"/>
      <c r="J142" s="190"/>
      <c r="M142" s="190"/>
    </row>
    <row r="143" ht="15.75" customHeight="1">
      <c r="H143" s="190"/>
      <c r="J143" s="190"/>
      <c r="M143" s="190"/>
    </row>
    <row r="144" ht="15.75" customHeight="1">
      <c r="H144" s="190"/>
      <c r="J144" s="190"/>
      <c r="M144" s="190"/>
    </row>
    <row r="145" ht="15.75" customHeight="1">
      <c r="H145" s="190"/>
      <c r="J145" s="190"/>
      <c r="M145" s="190"/>
    </row>
    <row r="146" ht="15.75" customHeight="1">
      <c r="H146" s="190"/>
      <c r="J146" s="190"/>
      <c r="M146" s="190"/>
    </row>
    <row r="147" ht="15.75" customHeight="1">
      <c r="H147" s="190"/>
      <c r="J147" s="190"/>
      <c r="M147" s="190"/>
    </row>
    <row r="148" ht="15.75" customHeight="1">
      <c r="H148" s="190"/>
      <c r="J148" s="190"/>
      <c r="M148" s="190"/>
    </row>
    <row r="149" ht="15.75" customHeight="1">
      <c r="H149" s="190"/>
      <c r="J149" s="190"/>
      <c r="M149" s="190"/>
    </row>
    <row r="150" ht="15.75" customHeight="1">
      <c r="H150" s="190"/>
      <c r="J150" s="190"/>
      <c r="M150" s="190"/>
    </row>
    <row r="151" ht="15.75" customHeight="1">
      <c r="H151" s="190"/>
      <c r="J151" s="190"/>
      <c r="M151" s="190"/>
    </row>
    <row r="152" ht="15.75" customHeight="1">
      <c r="H152" s="190"/>
      <c r="J152" s="190"/>
      <c r="M152" s="190"/>
    </row>
    <row r="153" ht="15.75" customHeight="1">
      <c r="H153" s="190"/>
      <c r="J153" s="190"/>
      <c r="M153" s="190"/>
    </row>
    <row r="154" ht="15.75" customHeight="1">
      <c r="H154" s="190"/>
      <c r="J154" s="190"/>
      <c r="M154" s="190"/>
    </row>
    <row r="155" ht="15.75" customHeight="1">
      <c r="H155" s="190"/>
      <c r="J155" s="190"/>
      <c r="M155" s="190"/>
    </row>
    <row r="156" ht="15.75" customHeight="1">
      <c r="H156" s="190"/>
      <c r="J156" s="190"/>
      <c r="M156" s="190"/>
    </row>
    <row r="157" ht="15.75" customHeight="1">
      <c r="H157" s="190"/>
      <c r="J157" s="190"/>
      <c r="M157" s="190"/>
    </row>
    <row r="158" ht="15.75" customHeight="1">
      <c r="H158" s="190"/>
      <c r="J158" s="190"/>
      <c r="M158" s="190"/>
    </row>
    <row r="159" ht="15.75" customHeight="1">
      <c r="H159" s="190"/>
      <c r="J159" s="190"/>
      <c r="M159" s="190"/>
    </row>
    <row r="160" ht="15.75" customHeight="1">
      <c r="H160" s="190"/>
      <c r="J160" s="190"/>
      <c r="M160" s="190"/>
    </row>
    <row r="161" ht="15.75" customHeight="1">
      <c r="H161" s="190"/>
      <c r="J161" s="190"/>
      <c r="M161" s="190"/>
    </row>
    <row r="162" ht="15.75" customHeight="1">
      <c r="H162" s="190"/>
      <c r="J162" s="190"/>
      <c r="M162" s="190"/>
    </row>
    <row r="163" ht="15.75" customHeight="1">
      <c r="H163" s="190"/>
      <c r="J163" s="190"/>
      <c r="M163" s="190"/>
    </row>
    <row r="164" ht="15.75" customHeight="1">
      <c r="H164" s="190"/>
      <c r="J164" s="190"/>
      <c r="M164" s="190"/>
    </row>
    <row r="165" ht="15.75" customHeight="1">
      <c r="H165" s="190"/>
      <c r="J165" s="190"/>
      <c r="M165" s="190"/>
    </row>
    <row r="166" ht="15.75" customHeight="1">
      <c r="H166" s="190"/>
      <c r="J166" s="190"/>
      <c r="M166" s="190"/>
    </row>
    <row r="167" ht="15.75" customHeight="1">
      <c r="H167" s="190"/>
      <c r="J167" s="190"/>
      <c r="M167" s="190"/>
    </row>
    <row r="168" ht="15.75" customHeight="1">
      <c r="H168" s="190"/>
      <c r="J168" s="190"/>
      <c r="M168" s="190"/>
    </row>
    <row r="169" ht="15.75" customHeight="1">
      <c r="H169" s="190"/>
      <c r="J169" s="190"/>
      <c r="M169" s="190"/>
    </row>
    <row r="170" ht="15.75" customHeight="1">
      <c r="H170" s="190"/>
      <c r="J170" s="190"/>
      <c r="M170" s="190"/>
    </row>
    <row r="171" ht="15.75" customHeight="1">
      <c r="H171" s="190"/>
      <c r="J171" s="190"/>
      <c r="M171" s="190"/>
    </row>
    <row r="172" ht="15.75" customHeight="1">
      <c r="H172" s="190"/>
      <c r="J172" s="190"/>
      <c r="M172" s="190"/>
    </row>
    <row r="173" ht="15.75" customHeight="1">
      <c r="H173" s="190"/>
      <c r="J173" s="190"/>
      <c r="M173" s="190"/>
    </row>
    <row r="174" ht="15.75" customHeight="1">
      <c r="H174" s="190"/>
      <c r="J174" s="190"/>
      <c r="M174" s="190"/>
    </row>
    <row r="175" ht="15.75" customHeight="1">
      <c r="H175" s="190"/>
      <c r="J175" s="190"/>
      <c r="M175" s="190"/>
    </row>
    <row r="176" ht="15.75" customHeight="1">
      <c r="H176" s="190"/>
      <c r="J176" s="190"/>
      <c r="M176" s="190"/>
    </row>
    <row r="177" ht="15.75" customHeight="1">
      <c r="H177" s="190"/>
      <c r="J177" s="190"/>
      <c r="M177" s="190"/>
    </row>
    <row r="178" ht="15.75" customHeight="1">
      <c r="H178" s="190"/>
      <c r="J178" s="190"/>
      <c r="M178" s="190"/>
    </row>
    <row r="179" ht="15.75" customHeight="1">
      <c r="H179" s="190"/>
      <c r="J179" s="190"/>
      <c r="M179" s="190"/>
    </row>
    <row r="180" ht="15.75" customHeight="1">
      <c r="H180" s="190"/>
      <c r="J180" s="190"/>
      <c r="M180" s="190"/>
    </row>
    <row r="181" ht="15.75" customHeight="1">
      <c r="H181" s="190"/>
      <c r="J181" s="190"/>
      <c r="M181" s="190"/>
    </row>
    <row r="182" ht="15.75" customHeight="1">
      <c r="H182" s="190"/>
      <c r="J182" s="190"/>
      <c r="M182" s="190"/>
    </row>
    <row r="183" ht="15.75" customHeight="1">
      <c r="H183" s="190"/>
      <c r="J183" s="190"/>
      <c r="M183" s="190"/>
    </row>
    <row r="184" ht="15.75" customHeight="1">
      <c r="H184" s="190"/>
      <c r="J184" s="190"/>
      <c r="M184" s="190"/>
    </row>
    <row r="185" ht="15.75" customHeight="1">
      <c r="H185" s="190"/>
      <c r="J185" s="190"/>
      <c r="M185" s="190"/>
    </row>
    <row r="186" ht="15.75" customHeight="1">
      <c r="H186" s="190"/>
      <c r="J186" s="190"/>
      <c r="M186" s="190"/>
    </row>
    <row r="187" ht="15.75" customHeight="1">
      <c r="H187" s="190"/>
      <c r="J187" s="190"/>
      <c r="M187" s="190"/>
    </row>
    <row r="188" ht="15.75" customHeight="1">
      <c r="H188" s="190"/>
      <c r="J188" s="190"/>
      <c r="M188" s="190"/>
    </row>
    <row r="189" ht="15.75" customHeight="1">
      <c r="H189" s="190"/>
      <c r="J189" s="190"/>
      <c r="M189" s="190"/>
    </row>
    <row r="190" ht="15.75" customHeight="1">
      <c r="H190" s="190"/>
      <c r="J190" s="190"/>
      <c r="M190" s="190"/>
    </row>
    <row r="191" ht="15.75" customHeight="1">
      <c r="H191" s="190"/>
      <c r="J191" s="190"/>
      <c r="M191" s="190"/>
    </row>
    <row r="192" ht="15.75" customHeight="1">
      <c r="H192" s="190"/>
      <c r="J192" s="190"/>
      <c r="M192" s="190"/>
    </row>
    <row r="193" ht="15.75" customHeight="1">
      <c r="H193" s="190"/>
      <c r="J193" s="190"/>
      <c r="M193" s="190"/>
    </row>
    <row r="194" ht="15.75" customHeight="1">
      <c r="H194" s="190"/>
      <c r="J194" s="190"/>
      <c r="M194" s="190"/>
    </row>
    <row r="195" ht="15.75" customHeight="1">
      <c r="H195" s="190"/>
      <c r="J195" s="190"/>
      <c r="M195" s="190"/>
    </row>
    <row r="196" ht="15.75" customHeight="1">
      <c r="H196" s="190"/>
      <c r="J196" s="190"/>
      <c r="M196" s="190"/>
    </row>
    <row r="197" ht="15.75" customHeight="1">
      <c r="H197" s="190"/>
      <c r="J197" s="190"/>
      <c r="M197" s="190"/>
    </row>
    <row r="198" ht="15.75" customHeight="1">
      <c r="H198" s="190"/>
      <c r="J198" s="190"/>
      <c r="M198" s="190"/>
    </row>
    <row r="199" ht="15.75" customHeight="1">
      <c r="H199" s="190"/>
      <c r="J199" s="190"/>
      <c r="M199" s="190"/>
    </row>
    <row r="200" ht="15.75" customHeight="1">
      <c r="H200" s="190"/>
      <c r="J200" s="190"/>
      <c r="M200" s="190"/>
    </row>
    <row r="201" ht="15.75" customHeight="1">
      <c r="H201" s="190"/>
      <c r="J201" s="190"/>
      <c r="M201" s="190"/>
    </row>
    <row r="202" ht="15.75" customHeight="1">
      <c r="H202" s="190"/>
      <c r="J202" s="190"/>
      <c r="M202" s="190"/>
    </row>
    <row r="203" ht="15.75" customHeight="1">
      <c r="H203" s="190"/>
      <c r="J203" s="190"/>
      <c r="M203" s="190"/>
    </row>
    <row r="204" ht="15.75" customHeight="1">
      <c r="H204" s="190"/>
      <c r="J204" s="190"/>
      <c r="M204" s="190"/>
    </row>
    <row r="205" ht="15.75" customHeight="1">
      <c r="H205" s="190"/>
      <c r="J205" s="190"/>
      <c r="M205" s="190"/>
    </row>
    <row r="206" ht="15.75" customHeight="1">
      <c r="H206" s="190"/>
      <c r="J206" s="190"/>
      <c r="M206" s="190"/>
    </row>
    <row r="207" ht="15.75" customHeight="1">
      <c r="H207" s="190"/>
      <c r="J207" s="190"/>
      <c r="M207" s="190"/>
    </row>
    <row r="208" ht="15.75" customHeight="1">
      <c r="H208" s="190"/>
      <c r="J208" s="190"/>
      <c r="M208" s="190"/>
    </row>
    <row r="209" ht="15.75" customHeight="1">
      <c r="H209" s="190"/>
      <c r="J209" s="190"/>
      <c r="M209" s="190"/>
    </row>
    <row r="210" ht="15.75" customHeight="1">
      <c r="H210" s="190"/>
      <c r="J210" s="190"/>
      <c r="M210" s="190"/>
    </row>
    <row r="211" ht="15.75" customHeight="1">
      <c r="H211" s="190"/>
      <c r="J211" s="190"/>
      <c r="M211" s="190"/>
    </row>
    <row r="212" ht="15.75" customHeight="1">
      <c r="H212" s="190"/>
      <c r="J212" s="190"/>
      <c r="M212" s="190"/>
    </row>
    <row r="213" ht="15.75" customHeight="1">
      <c r="H213" s="190"/>
      <c r="J213" s="190"/>
      <c r="M213" s="190"/>
    </row>
    <row r="214" ht="15.75" customHeight="1">
      <c r="H214" s="190"/>
      <c r="J214" s="190"/>
      <c r="M214" s="190"/>
    </row>
    <row r="215" ht="15.75" customHeight="1">
      <c r="H215" s="190"/>
      <c r="J215" s="190"/>
      <c r="M215" s="190"/>
    </row>
    <row r="216" ht="15.75" customHeight="1">
      <c r="H216" s="190"/>
      <c r="J216" s="190"/>
      <c r="M216" s="190"/>
    </row>
    <row r="217" ht="15.75" customHeight="1">
      <c r="H217" s="190"/>
      <c r="J217" s="190"/>
      <c r="M217" s="190"/>
    </row>
    <row r="218" ht="15.75" customHeight="1">
      <c r="H218" s="190"/>
      <c r="J218" s="190"/>
      <c r="M218" s="190"/>
    </row>
    <row r="219" ht="15.75" customHeight="1">
      <c r="H219" s="190"/>
      <c r="J219" s="190"/>
      <c r="M219" s="190"/>
    </row>
    <row r="220" ht="15.75" customHeight="1">
      <c r="H220" s="190"/>
      <c r="J220" s="190"/>
      <c r="M220" s="190"/>
    </row>
    <row r="221" ht="15.75" customHeight="1">
      <c r="H221" s="190"/>
      <c r="J221" s="190"/>
      <c r="M221" s="190"/>
    </row>
    <row r="222" ht="15.75" customHeight="1">
      <c r="H222" s="190"/>
      <c r="J222" s="190"/>
      <c r="M222" s="190"/>
    </row>
    <row r="223" ht="15.75" customHeight="1">
      <c r="H223" s="190"/>
      <c r="J223" s="190"/>
      <c r="M223" s="190"/>
    </row>
    <row r="224" ht="15.75" customHeight="1">
      <c r="H224" s="190"/>
      <c r="J224" s="190"/>
      <c r="M224" s="190"/>
    </row>
    <row r="225" ht="15.75" customHeight="1">
      <c r="H225" s="190"/>
      <c r="J225" s="190"/>
      <c r="M225" s="190"/>
    </row>
    <row r="226" ht="15.75" customHeight="1">
      <c r="H226" s="190"/>
      <c r="J226" s="190"/>
      <c r="M226" s="190"/>
    </row>
    <row r="227" ht="15.75" customHeight="1">
      <c r="H227" s="190"/>
      <c r="J227" s="190"/>
      <c r="M227" s="190"/>
    </row>
    <row r="228" ht="15.75" customHeight="1">
      <c r="H228" s="190"/>
      <c r="J228" s="190"/>
      <c r="M228" s="190"/>
    </row>
    <row r="229" ht="15.75" customHeight="1">
      <c r="H229" s="190"/>
      <c r="J229" s="190"/>
      <c r="M229" s="190"/>
    </row>
    <row r="230" ht="15.75" customHeight="1">
      <c r="H230" s="190"/>
      <c r="J230" s="190"/>
      <c r="M230" s="190"/>
    </row>
    <row r="231" ht="15.75" customHeight="1">
      <c r="H231" s="190"/>
      <c r="J231" s="190"/>
      <c r="M231" s="190"/>
    </row>
    <row r="232" ht="15.75" customHeight="1">
      <c r="H232" s="190"/>
      <c r="J232" s="190"/>
      <c r="M232" s="190"/>
    </row>
    <row r="233" ht="15.75" customHeight="1">
      <c r="H233" s="190"/>
      <c r="J233" s="190"/>
      <c r="M233" s="190"/>
    </row>
    <row r="234" ht="15.75" customHeight="1">
      <c r="H234" s="190"/>
      <c r="J234" s="190"/>
      <c r="M234" s="190"/>
    </row>
    <row r="235" ht="15.75" customHeight="1">
      <c r="H235" s="190"/>
      <c r="J235" s="190"/>
      <c r="M235" s="190"/>
    </row>
    <row r="236" ht="15.75" customHeight="1">
      <c r="H236" s="190"/>
      <c r="J236" s="190"/>
      <c r="M236" s="190"/>
    </row>
    <row r="237" ht="15.75" customHeight="1">
      <c r="H237" s="190"/>
      <c r="J237" s="190"/>
      <c r="M237" s="190"/>
    </row>
    <row r="238" ht="15.75" customHeight="1">
      <c r="H238" s="190"/>
      <c r="J238" s="190"/>
      <c r="M238" s="190"/>
    </row>
    <row r="239" ht="15.75" customHeight="1">
      <c r="H239" s="190"/>
      <c r="J239" s="190"/>
      <c r="M239" s="190"/>
    </row>
    <row r="240" ht="15.75" customHeight="1">
      <c r="H240" s="190"/>
      <c r="J240" s="190"/>
      <c r="M240" s="190"/>
    </row>
    <row r="241" ht="15.75" customHeight="1">
      <c r="H241" s="190"/>
      <c r="J241" s="190"/>
      <c r="M241" s="190"/>
    </row>
    <row r="242" ht="15.75" customHeight="1">
      <c r="H242" s="190"/>
      <c r="J242" s="190"/>
      <c r="M242" s="190"/>
    </row>
    <row r="243" ht="15.75" customHeight="1">
      <c r="H243" s="190"/>
      <c r="J243" s="190"/>
      <c r="M243" s="190"/>
    </row>
    <row r="244" ht="15.75" customHeight="1">
      <c r="H244" s="190"/>
      <c r="J244" s="190"/>
      <c r="M244" s="190"/>
    </row>
    <row r="245" ht="15.75" customHeight="1">
      <c r="H245" s="190"/>
      <c r="J245" s="190"/>
      <c r="M245" s="190"/>
    </row>
    <row r="246" ht="15.75" customHeight="1">
      <c r="H246" s="190"/>
      <c r="J246" s="190"/>
      <c r="M246" s="190"/>
    </row>
    <row r="247" ht="15.75" customHeight="1">
      <c r="H247" s="190"/>
      <c r="J247" s="190"/>
      <c r="M247" s="190"/>
    </row>
    <row r="248" ht="15.75" customHeight="1">
      <c r="H248" s="190"/>
      <c r="J248" s="190"/>
      <c r="M248" s="190"/>
    </row>
    <row r="249" ht="15.75" customHeight="1">
      <c r="H249" s="190"/>
      <c r="J249" s="190"/>
      <c r="M249" s="190"/>
    </row>
    <row r="250" ht="15.75" customHeight="1">
      <c r="H250" s="190"/>
      <c r="J250" s="190"/>
      <c r="M250" s="190"/>
    </row>
    <row r="251" ht="15.75" customHeight="1">
      <c r="H251" s="190"/>
      <c r="J251" s="190"/>
      <c r="M251" s="190"/>
    </row>
    <row r="252" ht="15.75" customHeight="1">
      <c r="H252" s="190"/>
      <c r="J252" s="190"/>
      <c r="M252" s="190"/>
    </row>
    <row r="253" ht="15.75" customHeight="1">
      <c r="H253" s="190"/>
      <c r="J253" s="190"/>
      <c r="M253" s="190"/>
    </row>
    <row r="254" ht="15.75" customHeight="1">
      <c r="H254" s="190"/>
      <c r="J254" s="190"/>
      <c r="M254" s="190"/>
    </row>
    <row r="255" ht="15.75" customHeight="1">
      <c r="H255" s="190"/>
      <c r="J255" s="190"/>
      <c r="M255" s="190"/>
    </row>
    <row r="256" ht="15.75" customHeight="1">
      <c r="H256" s="190"/>
      <c r="J256" s="190"/>
      <c r="M256" s="190"/>
    </row>
    <row r="257" ht="15.75" customHeight="1">
      <c r="H257" s="190"/>
      <c r="J257" s="190"/>
      <c r="M257" s="190"/>
    </row>
    <row r="258" ht="15.75" customHeight="1">
      <c r="H258" s="190"/>
      <c r="J258" s="190"/>
      <c r="M258" s="190"/>
    </row>
    <row r="259" ht="15.75" customHeight="1">
      <c r="H259" s="190"/>
      <c r="J259" s="190"/>
      <c r="M259" s="190"/>
    </row>
    <row r="260" ht="15.75" customHeight="1">
      <c r="H260" s="190"/>
      <c r="J260" s="190"/>
      <c r="M260" s="190"/>
    </row>
    <row r="261" ht="15.75" customHeight="1">
      <c r="H261" s="190"/>
      <c r="J261" s="190"/>
      <c r="M261" s="190"/>
    </row>
    <row r="262" ht="15.75" customHeight="1">
      <c r="H262" s="190"/>
      <c r="J262" s="190"/>
      <c r="M262" s="190"/>
    </row>
    <row r="263" ht="15.75" customHeight="1">
      <c r="H263" s="190"/>
      <c r="J263" s="190"/>
      <c r="M263" s="190"/>
    </row>
    <row r="264" ht="15.75" customHeight="1">
      <c r="H264" s="190"/>
      <c r="J264" s="190"/>
      <c r="M264" s="190"/>
    </row>
    <row r="265" ht="15.75" customHeight="1">
      <c r="H265" s="190"/>
      <c r="J265" s="190"/>
      <c r="M265" s="190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4">
    <mergeCell ref="X30:AA30"/>
    <mergeCell ref="AB30:AE30"/>
    <mergeCell ref="AF30:AI30"/>
    <mergeCell ref="AJ30:AM30"/>
    <mergeCell ref="AN30:AQ30"/>
    <mergeCell ref="A29:C29"/>
    <mergeCell ref="A30:B30"/>
    <mergeCell ref="D30:G30"/>
    <mergeCell ref="H30:K30"/>
    <mergeCell ref="L30:O30"/>
    <mergeCell ref="P30:S30"/>
    <mergeCell ref="T30:W30"/>
    <mergeCell ref="X38:AA38"/>
    <mergeCell ref="AB38:AE38"/>
    <mergeCell ref="AF38:AI38"/>
    <mergeCell ref="AJ38:AM38"/>
    <mergeCell ref="AN38:AQ38"/>
    <mergeCell ref="A37:C37"/>
    <mergeCell ref="A38:B38"/>
    <mergeCell ref="D38:G38"/>
    <mergeCell ref="H38:K38"/>
    <mergeCell ref="L38:O38"/>
    <mergeCell ref="P38:S38"/>
    <mergeCell ref="T38:W38"/>
    <mergeCell ref="X47:AA47"/>
    <mergeCell ref="AB47:AE47"/>
    <mergeCell ref="AF47:AI47"/>
    <mergeCell ref="AJ47:AM47"/>
    <mergeCell ref="AN47:AQ47"/>
    <mergeCell ref="A46:C46"/>
    <mergeCell ref="A47:B47"/>
    <mergeCell ref="D47:G47"/>
    <mergeCell ref="H47:K47"/>
    <mergeCell ref="L47:O47"/>
    <mergeCell ref="P47:S47"/>
    <mergeCell ref="T47:W47"/>
    <mergeCell ref="X3:AA3"/>
    <mergeCell ref="AB3:AE3"/>
    <mergeCell ref="AF3:AI3"/>
    <mergeCell ref="AJ3:AM3"/>
    <mergeCell ref="AN3:AQ3"/>
    <mergeCell ref="A2:C2"/>
    <mergeCell ref="A3:B3"/>
    <mergeCell ref="D3:G3"/>
    <mergeCell ref="H3:K3"/>
    <mergeCell ref="L3:O3"/>
    <mergeCell ref="P3:S3"/>
    <mergeCell ref="T3:W3"/>
    <mergeCell ref="X12:AA12"/>
    <mergeCell ref="AB12:AE12"/>
    <mergeCell ref="AF12:AI12"/>
    <mergeCell ref="AJ12:AM12"/>
    <mergeCell ref="AN12:AQ12"/>
    <mergeCell ref="A11:C11"/>
    <mergeCell ref="A12:B12"/>
    <mergeCell ref="D12:G12"/>
    <mergeCell ref="H12:K12"/>
    <mergeCell ref="L12:O12"/>
    <mergeCell ref="P12:S12"/>
    <mergeCell ref="T12:W12"/>
    <mergeCell ref="X21:AA21"/>
    <mergeCell ref="AB21:AE21"/>
    <mergeCell ref="AF21:AI21"/>
    <mergeCell ref="AJ21:AM21"/>
    <mergeCell ref="AN21:AQ21"/>
    <mergeCell ref="A20:C20"/>
    <mergeCell ref="A21:B21"/>
    <mergeCell ref="D21:G21"/>
    <mergeCell ref="H21:K21"/>
    <mergeCell ref="L21:O21"/>
    <mergeCell ref="P21:S21"/>
    <mergeCell ref="T21:W21"/>
    <mergeCell ref="X57:AA57"/>
    <mergeCell ref="AB57:AE57"/>
    <mergeCell ref="AF57:AI57"/>
    <mergeCell ref="AJ57:AM57"/>
    <mergeCell ref="AN57:AQ57"/>
    <mergeCell ref="A56:C56"/>
    <mergeCell ref="A57:B57"/>
    <mergeCell ref="D57:G57"/>
    <mergeCell ref="H57:K57"/>
    <mergeCell ref="L57:O57"/>
    <mergeCell ref="P57:S57"/>
    <mergeCell ref="T57:W5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38.63"/>
    <col customWidth="1" min="2" max="2" width="4.63"/>
    <col customWidth="1" min="3" max="3" width="7.88"/>
    <col customWidth="1" min="4" max="4" width="3.5"/>
    <col customWidth="1" min="5" max="5" width="3.63"/>
    <col customWidth="1" min="6" max="6" width="8.88"/>
    <col customWidth="1" min="7" max="7" width="12.38"/>
    <col customWidth="1" min="8" max="8" width="3.0"/>
    <col customWidth="1" min="9" max="9" width="3.25"/>
    <col customWidth="1" min="10" max="10" width="9.38"/>
    <col customWidth="1" min="11" max="11" width="12.38"/>
    <col customWidth="1" min="12" max="13" width="4.88"/>
    <col customWidth="1" min="14" max="14" width="8.88"/>
    <col customWidth="1" min="15" max="15" width="12.38"/>
    <col customWidth="1" min="16" max="17" width="4.88"/>
    <col customWidth="1" min="18" max="18" width="8.88"/>
    <col customWidth="1" min="19" max="19" width="12.38"/>
    <col customWidth="1" min="20" max="21" width="4.88"/>
    <col customWidth="1" min="22" max="22" width="8.88"/>
    <col customWidth="1" min="23" max="23" width="12.38"/>
    <col customWidth="1" min="24" max="24" width="4.88"/>
    <col customWidth="1" min="25" max="25" width="4.25"/>
    <col customWidth="1" min="26" max="26" width="8.88"/>
    <col customWidth="1" min="27" max="27" width="12.38"/>
    <col customWidth="1" min="28" max="29" width="4.63"/>
    <col customWidth="1" min="30" max="30" width="8.88"/>
    <col customWidth="1" min="31" max="31" width="12.38"/>
    <col customWidth="1" min="32" max="33" width="4.75"/>
    <col customWidth="1" min="34" max="34" width="8.88"/>
    <col customWidth="1" min="35" max="35" width="12.38"/>
    <col customWidth="1" min="36" max="37" width="4.75"/>
    <col customWidth="1" min="38" max="38" width="8.88"/>
    <col customWidth="1" min="39" max="39" width="12.38"/>
  </cols>
  <sheetData>
    <row r="1" ht="15.75" customHeight="1">
      <c r="A1" s="191"/>
      <c r="B1" s="191"/>
      <c r="C1" s="191"/>
      <c r="D1" s="192" t="s">
        <v>50</v>
      </c>
      <c r="H1" s="193" t="s">
        <v>2</v>
      </c>
      <c r="L1" s="194" t="s">
        <v>51</v>
      </c>
      <c r="M1" s="18"/>
      <c r="N1" s="18"/>
      <c r="O1" s="15"/>
      <c r="P1" s="195" t="s">
        <v>3</v>
      </c>
      <c r="Q1" s="18"/>
      <c r="R1" s="18"/>
      <c r="S1" s="15"/>
      <c r="T1" s="196" t="s">
        <v>52</v>
      </c>
      <c r="U1" s="18"/>
      <c r="V1" s="18"/>
      <c r="W1" s="15"/>
      <c r="X1" s="197" t="s">
        <v>53</v>
      </c>
      <c r="Y1" s="18"/>
      <c r="Z1" s="18"/>
      <c r="AA1" s="15"/>
      <c r="AB1" s="24" t="s">
        <v>54</v>
      </c>
      <c r="AC1" s="18"/>
      <c r="AD1" s="18"/>
      <c r="AE1" s="15"/>
      <c r="AF1" s="161" t="s">
        <v>55</v>
      </c>
      <c r="AG1" s="18"/>
      <c r="AH1" s="18"/>
      <c r="AI1" s="15"/>
      <c r="AJ1" s="198" t="s">
        <v>7</v>
      </c>
      <c r="AK1" s="18"/>
      <c r="AL1" s="18"/>
      <c r="AM1" s="15"/>
    </row>
    <row r="2" ht="15.75" customHeight="1">
      <c r="A2" s="199"/>
      <c r="B2" s="28" t="s">
        <v>12</v>
      </c>
      <c r="C2" s="28" t="s">
        <v>13</v>
      </c>
      <c r="D2" s="200" t="s">
        <v>14</v>
      </c>
      <c r="E2" s="201" t="s">
        <v>15</v>
      </c>
      <c r="F2" s="201" t="s">
        <v>16</v>
      </c>
      <c r="G2" s="201" t="s">
        <v>17</v>
      </c>
      <c r="H2" s="31" t="s">
        <v>14</v>
      </c>
      <c r="I2" s="32" t="s">
        <v>15</v>
      </c>
      <c r="J2" s="32" t="s">
        <v>16</v>
      </c>
      <c r="K2" s="32" t="s">
        <v>17</v>
      </c>
      <c r="L2" s="37" t="s">
        <v>14</v>
      </c>
      <c r="M2" s="38" t="s">
        <v>15</v>
      </c>
      <c r="N2" s="38" t="s">
        <v>16</v>
      </c>
      <c r="O2" s="38" t="s">
        <v>17</v>
      </c>
      <c r="P2" s="202" t="s">
        <v>14</v>
      </c>
      <c r="Q2" s="203" t="s">
        <v>15</v>
      </c>
      <c r="R2" s="203" t="s">
        <v>16</v>
      </c>
      <c r="S2" s="203" t="s">
        <v>17</v>
      </c>
      <c r="T2" s="204" t="s">
        <v>14</v>
      </c>
      <c r="U2" s="205" t="s">
        <v>15</v>
      </c>
      <c r="V2" s="205" t="s">
        <v>16</v>
      </c>
      <c r="W2" s="205" t="s">
        <v>17</v>
      </c>
      <c r="X2" s="206" t="s">
        <v>14</v>
      </c>
      <c r="Y2" s="207" t="s">
        <v>15</v>
      </c>
      <c r="Z2" s="207" t="s">
        <v>16</v>
      </c>
      <c r="AA2" s="207" t="s">
        <v>17</v>
      </c>
      <c r="AB2" s="208" t="s">
        <v>14</v>
      </c>
      <c r="AC2" s="209" t="s">
        <v>15</v>
      </c>
      <c r="AD2" s="209" t="s">
        <v>16</v>
      </c>
      <c r="AE2" s="209" t="s">
        <v>17</v>
      </c>
      <c r="AF2" s="210" t="s">
        <v>14</v>
      </c>
      <c r="AG2" s="211" t="s">
        <v>15</v>
      </c>
      <c r="AH2" s="211" t="s">
        <v>16</v>
      </c>
      <c r="AI2" s="211" t="s">
        <v>17</v>
      </c>
      <c r="AJ2" s="212" t="s">
        <v>14</v>
      </c>
      <c r="AK2" s="213" t="s">
        <v>15</v>
      </c>
      <c r="AL2" s="213" t="s">
        <v>16</v>
      </c>
      <c r="AM2" s="213" t="s">
        <v>17</v>
      </c>
    </row>
    <row r="3" ht="15.75" customHeight="1">
      <c r="A3" s="214" t="s">
        <v>56</v>
      </c>
      <c r="B3" s="78">
        <v>1.0</v>
      </c>
      <c r="C3" s="79">
        <v>295.0</v>
      </c>
      <c r="D3" s="215">
        <v>5.0</v>
      </c>
      <c r="E3" s="215">
        <v>10.0</v>
      </c>
      <c r="F3" s="216">
        <f t="shared" ref="F3:F12" si="1">D3*E3*C3/1000</f>
        <v>14.75</v>
      </c>
      <c r="G3" s="215" t="s">
        <v>19</v>
      </c>
      <c r="H3" s="76">
        <v>5.0</v>
      </c>
      <c r="I3" s="76">
        <v>10.0</v>
      </c>
      <c r="J3" s="76">
        <f t="shared" ref="J3:J12" si="2">H3*I3*C3/1000</f>
        <v>14.75</v>
      </c>
      <c r="K3" s="76" t="s">
        <v>20</v>
      </c>
      <c r="L3" s="217">
        <v>45.0</v>
      </c>
      <c r="M3" s="217">
        <v>1.0</v>
      </c>
      <c r="N3" s="64">
        <f t="shared" ref="N3:N12" si="3">L3*M3*C3/1000</f>
        <v>13.275</v>
      </c>
      <c r="O3" s="63" t="s">
        <v>19</v>
      </c>
      <c r="P3" s="218">
        <v>55.0</v>
      </c>
      <c r="Q3" s="218">
        <v>1.0</v>
      </c>
      <c r="R3" s="218">
        <f t="shared" ref="R3:R12" si="4">P3*Q3*C3/1000</f>
        <v>16.225</v>
      </c>
      <c r="S3" s="218" t="s">
        <v>57</v>
      </c>
      <c r="T3" s="219">
        <v>45.0</v>
      </c>
      <c r="U3" s="219">
        <v>1.0</v>
      </c>
      <c r="V3" s="220">
        <f t="shared" ref="V3:V12" si="5">T3*U3*C3/1000</f>
        <v>13.275</v>
      </c>
      <c r="W3" s="221" t="s">
        <v>57</v>
      </c>
      <c r="X3" s="222">
        <v>40.0</v>
      </c>
      <c r="Y3" s="222">
        <v>1.0</v>
      </c>
      <c r="Z3" s="223">
        <f t="shared" ref="Z3:Z12" si="6">X3*Y3*C3/1000</f>
        <v>11.8</v>
      </c>
      <c r="AA3" s="224" t="s">
        <v>57</v>
      </c>
      <c r="AB3" s="225">
        <v>100.0</v>
      </c>
      <c r="AC3" s="225">
        <v>1.0</v>
      </c>
      <c r="AD3" s="225">
        <f t="shared" ref="AD3:AD12" si="7">AB3*AC3*C3/1000</f>
        <v>29.5</v>
      </c>
      <c r="AE3" s="225" t="s">
        <v>19</v>
      </c>
      <c r="AF3" s="58">
        <v>170.0</v>
      </c>
      <c r="AG3" s="58">
        <v>1.0</v>
      </c>
      <c r="AH3" s="226">
        <f t="shared" ref="AH3:AH12" si="8">AF3*AG3*C3/1000</f>
        <v>50.15</v>
      </c>
      <c r="AI3" s="227" t="s">
        <v>58</v>
      </c>
      <c r="AJ3" s="228">
        <v>220.0</v>
      </c>
      <c r="AK3" s="228">
        <v>1.0</v>
      </c>
      <c r="AL3" s="229">
        <f t="shared" ref="AL3:AL12" si="9">AJ3*AK3*C3/1000</f>
        <v>64.9</v>
      </c>
      <c r="AM3" s="230" t="s">
        <v>19</v>
      </c>
    </row>
    <row r="4" ht="15.75" customHeight="1">
      <c r="A4" s="231" t="s">
        <v>59</v>
      </c>
      <c r="B4" s="152">
        <v>1.0</v>
      </c>
      <c r="C4" s="153">
        <v>342.0</v>
      </c>
      <c r="D4" s="215">
        <v>5.0</v>
      </c>
      <c r="E4" s="215">
        <v>10.0</v>
      </c>
      <c r="F4" s="216">
        <f t="shared" si="1"/>
        <v>17.1</v>
      </c>
      <c r="G4" s="215" t="s">
        <v>19</v>
      </c>
      <c r="H4" s="76">
        <v>5.0</v>
      </c>
      <c r="I4" s="76">
        <v>10.0</v>
      </c>
      <c r="J4" s="76">
        <f t="shared" si="2"/>
        <v>17.1</v>
      </c>
      <c r="K4" s="76" t="s">
        <v>20</v>
      </c>
      <c r="L4" s="217">
        <v>45.0</v>
      </c>
      <c r="M4" s="217">
        <v>1.0</v>
      </c>
      <c r="N4" s="64">
        <f t="shared" si="3"/>
        <v>15.39</v>
      </c>
      <c r="O4" s="63" t="s">
        <v>19</v>
      </c>
      <c r="P4" s="218">
        <v>55.0</v>
      </c>
      <c r="Q4" s="218">
        <v>1.0</v>
      </c>
      <c r="R4" s="218">
        <f t="shared" si="4"/>
        <v>18.81</v>
      </c>
      <c r="S4" s="218" t="s">
        <v>57</v>
      </c>
      <c r="T4" s="219">
        <v>45.0</v>
      </c>
      <c r="U4" s="219">
        <v>1.0</v>
      </c>
      <c r="V4" s="220">
        <f t="shared" si="5"/>
        <v>15.39</v>
      </c>
      <c r="W4" s="221" t="s">
        <v>57</v>
      </c>
      <c r="X4" s="222">
        <v>40.0</v>
      </c>
      <c r="Y4" s="222">
        <v>1.0</v>
      </c>
      <c r="Z4" s="223">
        <f t="shared" si="6"/>
        <v>13.68</v>
      </c>
      <c r="AA4" s="224" t="s">
        <v>57</v>
      </c>
      <c r="AB4" s="225">
        <v>100.0</v>
      </c>
      <c r="AC4" s="225">
        <v>1.0</v>
      </c>
      <c r="AD4" s="225">
        <f t="shared" si="7"/>
        <v>34.2</v>
      </c>
      <c r="AE4" s="225" t="s">
        <v>19</v>
      </c>
      <c r="AF4" s="58">
        <v>170.0</v>
      </c>
      <c r="AG4" s="58">
        <v>1.0</v>
      </c>
      <c r="AH4" s="226">
        <f t="shared" si="8"/>
        <v>58.14</v>
      </c>
      <c r="AI4" s="227" t="s">
        <v>58</v>
      </c>
      <c r="AJ4" s="228">
        <v>220.0</v>
      </c>
      <c r="AK4" s="228">
        <v>1.0</v>
      </c>
      <c r="AL4" s="229">
        <f t="shared" si="9"/>
        <v>75.24</v>
      </c>
      <c r="AM4" s="230" t="s">
        <v>19</v>
      </c>
    </row>
    <row r="5" ht="15.75" customHeight="1">
      <c r="A5" s="231" t="s">
        <v>60</v>
      </c>
      <c r="B5" s="152">
        <v>1.0</v>
      </c>
      <c r="C5" s="153">
        <v>221.0</v>
      </c>
      <c r="D5" s="215">
        <v>5.0</v>
      </c>
      <c r="E5" s="215">
        <v>10.0</v>
      </c>
      <c r="F5" s="216">
        <f t="shared" si="1"/>
        <v>11.05</v>
      </c>
      <c r="G5" s="215" t="s">
        <v>19</v>
      </c>
      <c r="H5" s="76">
        <v>5.0</v>
      </c>
      <c r="I5" s="76">
        <v>10.0</v>
      </c>
      <c r="J5" s="76">
        <f t="shared" si="2"/>
        <v>11.05</v>
      </c>
      <c r="K5" s="76" t="s">
        <v>20</v>
      </c>
      <c r="L5" s="217">
        <v>50.0</v>
      </c>
      <c r="M5" s="217">
        <v>1.0</v>
      </c>
      <c r="N5" s="64">
        <f t="shared" si="3"/>
        <v>11.05</v>
      </c>
      <c r="O5" s="63" t="s">
        <v>19</v>
      </c>
      <c r="P5" s="218">
        <v>55.0</v>
      </c>
      <c r="Q5" s="218">
        <v>1.0</v>
      </c>
      <c r="R5" s="218">
        <f t="shared" si="4"/>
        <v>12.155</v>
      </c>
      <c r="S5" s="218" t="s">
        <v>57</v>
      </c>
      <c r="T5" s="219">
        <v>50.0</v>
      </c>
      <c r="U5" s="219">
        <v>1.0</v>
      </c>
      <c r="V5" s="220">
        <f t="shared" si="5"/>
        <v>11.05</v>
      </c>
      <c r="W5" s="221" t="s">
        <v>57</v>
      </c>
      <c r="X5" s="222">
        <v>50.0</v>
      </c>
      <c r="Y5" s="222">
        <v>1.0</v>
      </c>
      <c r="Z5" s="223">
        <f t="shared" si="6"/>
        <v>11.05</v>
      </c>
      <c r="AA5" s="224" t="s">
        <v>57</v>
      </c>
      <c r="AB5" s="225">
        <v>100.0</v>
      </c>
      <c r="AC5" s="225">
        <v>1.0</v>
      </c>
      <c r="AD5" s="225">
        <f t="shared" si="7"/>
        <v>22.1</v>
      </c>
      <c r="AE5" s="225" t="s">
        <v>19</v>
      </c>
      <c r="AF5" s="58">
        <v>170.0</v>
      </c>
      <c r="AG5" s="58">
        <v>1.0</v>
      </c>
      <c r="AH5" s="226">
        <f t="shared" si="8"/>
        <v>37.57</v>
      </c>
      <c r="AI5" s="227" t="s">
        <v>58</v>
      </c>
      <c r="AJ5" s="228">
        <v>220.0</v>
      </c>
      <c r="AK5" s="228">
        <v>1.0</v>
      </c>
      <c r="AL5" s="229">
        <f t="shared" si="9"/>
        <v>48.62</v>
      </c>
      <c r="AM5" s="230" t="s">
        <v>19</v>
      </c>
    </row>
    <row r="6" ht="15.75" customHeight="1">
      <c r="A6" s="231" t="s">
        <v>61</v>
      </c>
      <c r="B6" s="232">
        <v>1.0</v>
      </c>
      <c r="C6" s="233">
        <v>159.0</v>
      </c>
      <c r="D6" s="215">
        <v>5.0</v>
      </c>
      <c r="E6" s="215">
        <v>10.0</v>
      </c>
      <c r="F6" s="216">
        <f t="shared" si="1"/>
        <v>7.95</v>
      </c>
      <c r="G6" s="215" t="s">
        <v>19</v>
      </c>
      <c r="H6" s="234">
        <v>5.0</v>
      </c>
      <c r="I6" s="76">
        <v>10.0</v>
      </c>
      <c r="J6" s="76">
        <f t="shared" si="2"/>
        <v>7.95</v>
      </c>
      <c r="K6" s="76" t="s">
        <v>20</v>
      </c>
      <c r="L6" s="217">
        <v>65.0</v>
      </c>
      <c r="M6" s="217">
        <v>1.0</v>
      </c>
      <c r="N6" s="64">
        <f t="shared" si="3"/>
        <v>10.335</v>
      </c>
      <c r="O6" s="63" t="s">
        <v>19</v>
      </c>
      <c r="P6" s="218">
        <v>70.0</v>
      </c>
      <c r="Q6" s="218">
        <v>1.0</v>
      </c>
      <c r="R6" s="218">
        <f t="shared" si="4"/>
        <v>11.13</v>
      </c>
      <c r="S6" s="218" t="s">
        <v>57</v>
      </c>
      <c r="T6" s="219">
        <v>65.0</v>
      </c>
      <c r="U6" s="219">
        <v>1.0</v>
      </c>
      <c r="V6" s="220">
        <f t="shared" si="5"/>
        <v>10.335</v>
      </c>
      <c r="W6" s="221" t="s">
        <v>57</v>
      </c>
      <c r="X6" s="222">
        <v>65.0</v>
      </c>
      <c r="Y6" s="222">
        <v>1.0</v>
      </c>
      <c r="Z6" s="223">
        <f t="shared" si="6"/>
        <v>10.335</v>
      </c>
      <c r="AA6" s="224" t="s">
        <v>57</v>
      </c>
      <c r="AB6" s="225">
        <v>100.0</v>
      </c>
      <c r="AC6" s="225">
        <v>1.0</v>
      </c>
      <c r="AD6" s="225">
        <f t="shared" si="7"/>
        <v>15.9</v>
      </c>
      <c r="AE6" s="225" t="s">
        <v>19</v>
      </c>
      <c r="AF6" s="58">
        <v>170.0</v>
      </c>
      <c r="AG6" s="58">
        <v>1.0</v>
      </c>
      <c r="AH6" s="226">
        <f t="shared" si="8"/>
        <v>27.03</v>
      </c>
      <c r="AI6" s="227" t="s">
        <v>58</v>
      </c>
      <c r="AJ6" s="228">
        <v>220.0</v>
      </c>
      <c r="AK6" s="228">
        <v>1.0</v>
      </c>
      <c r="AL6" s="229">
        <f t="shared" si="9"/>
        <v>34.98</v>
      </c>
      <c r="AM6" s="230" t="s">
        <v>19</v>
      </c>
    </row>
    <row r="7" ht="15.75" customHeight="1">
      <c r="A7" s="235" t="s">
        <v>62</v>
      </c>
      <c r="B7" s="78">
        <v>1.0</v>
      </c>
      <c r="C7" s="79">
        <v>69.0</v>
      </c>
      <c r="D7" s="215">
        <v>5.0</v>
      </c>
      <c r="E7" s="215">
        <v>10.0</v>
      </c>
      <c r="F7" s="216">
        <f t="shared" si="1"/>
        <v>3.45</v>
      </c>
      <c r="G7" s="215" t="s">
        <v>19</v>
      </c>
      <c r="H7" s="76">
        <v>5.0</v>
      </c>
      <c r="I7" s="76">
        <v>10.0</v>
      </c>
      <c r="J7" s="76">
        <f t="shared" si="2"/>
        <v>3.45</v>
      </c>
      <c r="K7" s="76" t="s">
        <v>20</v>
      </c>
      <c r="L7" s="217">
        <v>150.0</v>
      </c>
      <c r="M7" s="217">
        <v>1.0</v>
      </c>
      <c r="N7" s="64">
        <f t="shared" si="3"/>
        <v>10.35</v>
      </c>
      <c r="O7" s="63" t="s">
        <v>19</v>
      </c>
      <c r="P7" s="218">
        <v>130.0</v>
      </c>
      <c r="Q7" s="218">
        <v>1.0</v>
      </c>
      <c r="R7" s="218">
        <f t="shared" si="4"/>
        <v>8.97</v>
      </c>
      <c r="S7" s="218" t="s">
        <v>57</v>
      </c>
      <c r="T7" s="219">
        <v>150.0</v>
      </c>
      <c r="U7" s="219">
        <v>1.0</v>
      </c>
      <c r="V7" s="220">
        <f t="shared" si="5"/>
        <v>10.35</v>
      </c>
      <c r="W7" s="221" t="s">
        <v>57</v>
      </c>
      <c r="X7" s="222">
        <v>120.0</v>
      </c>
      <c r="Y7" s="222">
        <v>1.0</v>
      </c>
      <c r="Z7" s="223">
        <f t="shared" si="6"/>
        <v>8.28</v>
      </c>
      <c r="AA7" s="224" t="s">
        <v>57</v>
      </c>
      <c r="AB7" s="225">
        <v>100.0</v>
      </c>
      <c r="AC7" s="225">
        <v>1.0</v>
      </c>
      <c r="AD7" s="225">
        <f t="shared" si="7"/>
        <v>6.9</v>
      </c>
      <c r="AE7" s="225" t="s">
        <v>19</v>
      </c>
      <c r="AF7" s="58">
        <v>170.0</v>
      </c>
      <c r="AG7" s="58">
        <v>1.0</v>
      </c>
      <c r="AH7" s="226">
        <f t="shared" si="8"/>
        <v>11.73</v>
      </c>
      <c r="AI7" s="227" t="s">
        <v>58</v>
      </c>
      <c r="AJ7" s="228">
        <v>220.0</v>
      </c>
      <c r="AK7" s="228">
        <v>1.0</v>
      </c>
      <c r="AL7" s="229">
        <f t="shared" si="9"/>
        <v>15.18</v>
      </c>
      <c r="AM7" s="230" t="s">
        <v>19</v>
      </c>
    </row>
    <row r="8" ht="15.75" customHeight="1">
      <c r="A8" s="236" t="s">
        <v>63</v>
      </c>
      <c r="B8" s="78">
        <v>1.0</v>
      </c>
      <c r="C8" s="79">
        <v>306.0</v>
      </c>
      <c r="D8" s="215">
        <v>5.0</v>
      </c>
      <c r="E8" s="215">
        <v>5.0</v>
      </c>
      <c r="F8" s="216">
        <f t="shared" si="1"/>
        <v>7.65</v>
      </c>
      <c r="G8" s="215" t="s">
        <v>19</v>
      </c>
      <c r="H8" s="76">
        <v>5.0</v>
      </c>
      <c r="I8" s="76">
        <v>10.0</v>
      </c>
      <c r="J8" s="76">
        <f t="shared" si="2"/>
        <v>15.3</v>
      </c>
      <c r="K8" s="76" t="s">
        <v>20</v>
      </c>
      <c r="L8" s="217">
        <v>45.0</v>
      </c>
      <c r="M8" s="217">
        <v>1.0</v>
      </c>
      <c r="N8" s="64">
        <f t="shared" si="3"/>
        <v>13.77</v>
      </c>
      <c r="O8" s="63" t="s">
        <v>19</v>
      </c>
      <c r="P8" s="218">
        <v>55.0</v>
      </c>
      <c r="Q8" s="218">
        <v>1.0</v>
      </c>
      <c r="R8" s="218">
        <f t="shared" si="4"/>
        <v>16.83</v>
      </c>
      <c r="S8" s="218" t="s">
        <v>57</v>
      </c>
      <c r="T8" s="219">
        <v>45.0</v>
      </c>
      <c r="U8" s="219">
        <v>1.0</v>
      </c>
      <c r="V8" s="220">
        <f t="shared" si="5"/>
        <v>13.77</v>
      </c>
      <c r="W8" s="221" t="s">
        <v>57</v>
      </c>
      <c r="X8" s="222">
        <v>40.0</v>
      </c>
      <c r="Y8" s="222">
        <v>1.0</v>
      </c>
      <c r="Z8" s="223">
        <f t="shared" si="6"/>
        <v>12.24</v>
      </c>
      <c r="AA8" s="224" t="s">
        <v>57</v>
      </c>
      <c r="AB8" s="225">
        <v>100.0</v>
      </c>
      <c r="AC8" s="225">
        <v>1.0</v>
      </c>
      <c r="AD8" s="225">
        <f t="shared" si="7"/>
        <v>30.6</v>
      </c>
      <c r="AE8" s="225" t="s">
        <v>19</v>
      </c>
      <c r="AF8" s="58">
        <v>170.0</v>
      </c>
      <c r="AG8" s="58">
        <v>1.0</v>
      </c>
      <c r="AH8" s="226">
        <f t="shared" si="8"/>
        <v>52.02</v>
      </c>
      <c r="AI8" s="227" t="s">
        <v>58</v>
      </c>
      <c r="AJ8" s="228">
        <v>220.0</v>
      </c>
      <c r="AK8" s="228">
        <v>1.0</v>
      </c>
      <c r="AL8" s="229">
        <f t="shared" si="9"/>
        <v>67.32</v>
      </c>
      <c r="AM8" s="230" t="s">
        <v>19</v>
      </c>
    </row>
    <row r="9" ht="15.75" customHeight="1">
      <c r="A9" s="236" t="s">
        <v>64</v>
      </c>
      <c r="B9" s="78">
        <v>1.0</v>
      </c>
      <c r="C9" s="79">
        <v>137.0</v>
      </c>
      <c r="D9" s="215">
        <v>5.0</v>
      </c>
      <c r="E9" s="215">
        <v>5.0</v>
      </c>
      <c r="F9" s="216">
        <f t="shared" si="1"/>
        <v>3.425</v>
      </c>
      <c r="G9" s="215" t="s">
        <v>19</v>
      </c>
      <c r="H9" s="76">
        <v>5.0</v>
      </c>
      <c r="I9" s="76">
        <v>10.0</v>
      </c>
      <c r="J9" s="76">
        <f t="shared" si="2"/>
        <v>6.85</v>
      </c>
      <c r="K9" s="76" t="s">
        <v>20</v>
      </c>
      <c r="L9" s="217">
        <v>75.0</v>
      </c>
      <c r="M9" s="217">
        <v>1.0</v>
      </c>
      <c r="N9" s="64">
        <f t="shared" si="3"/>
        <v>10.275</v>
      </c>
      <c r="O9" s="63" t="s">
        <v>19</v>
      </c>
      <c r="P9" s="218">
        <v>70.0</v>
      </c>
      <c r="Q9" s="218">
        <v>1.0</v>
      </c>
      <c r="R9" s="218">
        <f t="shared" si="4"/>
        <v>9.59</v>
      </c>
      <c r="S9" s="218" t="s">
        <v>57</v>
      </c>
      <c r="T9" s="219">
        <v>75.0</v>
      </c>
      <c r="U9" s="219">
        <v>1.0</v>
      </c>
      <c r="V9" s="220">
        <f t="shared" si="5"/>
        <v>10.275</v>
      </c>
      <c r="W9" s="221" t="s">
        <v>57</v>
      </c>
      <c r="X9" s="222">
        <v>80.0</v>
      </c>
      <c r="Y9" s="222">
        <v>1.0</v>
      </c>
      <c r="Z9" s="223">
        <f t="shared" si="6"/>
        <v>10.96</v>
      </c>
      <c r="AA9" s="224" t="s">
        <v>57</v>
      </c>
      <c r="AB9" s="225">
        <v>100.0</v>
      </c>
      <c r="AC9" s="225">
        <v>1.0</v>
      </c>
      <c r="AD9" s="225">
        <f t="shared" si="7"/>
        <v>13.7</v>
      </c>
      <c r="AE9" s="225" t="s">
        <v>19</v>
      </c>
      <c r="AF9" s="58">
        <v>170.0</v>
      </c>
      <c r="AG9" s="58">
        <v>1.0</v>
      </c>
      <c r="AH9" s="226">
        <f t="shared" si="8"/>
        <v>23.29</v>
      </c>
      <c r="AI9" s="227" t="s">
        <v>58</v>
      </c>
      <c r="AJ9" s="228">
        <v>220.0</v>
      </c>
      <c r="AK9" s="228">
        <v>1.0</v>
      </c>
      <c r="AL9" s="229">
        <f t="shared" si="9"/>
        <v>30.14</v>
      </c>
      <c r="AM9" s="230" t="s">
        <v>19</v>
      </c>
    </row>
    <row r="10" ht="15.75" customHeight="1">
      <c r="A10" s="236" t="s">
        <v>65</v>
      </c>
      <c r="B10" s="152">
        <v>1.0</v>
      </c>
      <c r="C10" s="153">
        <v>485.0</v>
      </c>
      <c r="D10" s="215">
        <v>5.0</v>
      </c>
      <c r="E10" s="215">
        <v>5.0</v>
      </c>
      <c r="F10" s="216">
        <f t="shared" si="1"/>
        <v>12.125</v>
      </c>
      <c r="G10" s="215" t="s">
        <v>19</v>
      </c>
      <c r="H10" s="237">
        <v>5.0</v>
      </c>
      <c r="I10" s="76">
        <v>10.0</v>
      </c>
      <c r="J10" s="76">
        <f t="shared" si="2"/>
        <v>24.25</v>
      </c>
      <c r="K10" s="76" t="s">
        <v>20</v>
      </c>
      <c r="L10" s="217">
        <v>45.0</v>
      </c>
      <c r="M10" s="217">
        <v>1.0</v>
      </c>
      <c r="N10" s="64">
        <f t="shared" si="3"/>
        <v>21.825</v>
      </c>
      <c r="O10" s="63" t="s">
        <v>19</v>
      </c>
      <c r="P10" s="218">
        <v>60.0</v>
      </c>
      <c r="Q10" s="218">
        <v>1.0</v>
      </c>
      <c r="R10" s="218">
        <f t="shared" si="4"/>
        <v>29.1</v>
      </c>
      <c r="S10" s="218" t="s">
        <v>57</v>
      </c>
      <c r="T10" s="219">
        <v>55.0</v>
      </c>
      <c r="U10" s="219">
        <v>1.0</v>
      </c>
      <c r="V10" s="220">
        <f t="shared" si="5"/>
        <v>26.675</v>
      </c>
      <c r="W10" s="221" t="s">
        <v>57</v>
      </c>
      <c r="X10" s="222">
        <v>40.0</v>
      </c>
      <c r="Y10" s="222">
        <v>1.0</v>
      </c>
      <c r="Z10" s="223">
        <f t="shared" si="6"/>
        <v>19.4</v>
      </c>
      <c r="AA10" s="224" t="s">
        <v>57</v>
      </c>
      <c r="AB10" s="225">
        <v>100.0</v>
      </c>
      <c r="AC10" s="225">
        <v>1.0</v>
      </c>
      <c r="AD10" s="225">
        <f t="shared" si="7"/>
        <v>48.5</v>
      </c>
      <c r="AE10" s="225" t="s">
        <v>19</v>
      </c>
      <c r="AF10" s="58">
        <v>170.0</v>
      </c>
      <c r="AG10" s="58">
        <v>1.0</v>
      </c>
      <c r="AH10" s="226">
        <f t="shared" si="8"/>
        <v>82.45</v>
      </c>
      <c r="AI10" s="227" t="s">
        <v>58</v>
      </c>
      <c r="AJ10" s="228">
        <v>220.0</v>
      </c>
      <c r="AK10" s="228">
        <v>1.0</v>
      </c>
      <c r="AL10" s="229">
        <f t="shared" si="9"/>
        <v>106.7</v>
      </c>
      <c r="AM10" s="230" t="s">
        <v>19</v>
      </c>
    </row>
    <row r="11" ht="15.75" customHeight="1">
      <c r="A11" s="236" t="s">
        <v>66</v>
      </c>
      <c r="B11" s="78">
        <v>1.0</v>
      </c>
      <c r="C11" s="79">
        <v>150.0</v>
      </c>
      <c r="D11" s="215">
        <v>5.0</v>
      </c>
      <c r="E11" s="215">
        <v>5.0</v>
      </c>
      <c r="F11" s="216">
        <f t="shared" si="1"/>
        <v>3.75</v>
      </c>
      <c r="G11" s="215" t="s">
        <v>19</v>
      </c>
      <c r="H11" s="76">
        <v>5.0</v>
      </c>
      <c r="I11" s="76">
        <v>10.0</v>
      </c>
      <c r="J11" s="76">
        <f t="shared" si="2"/>
        <v>7.5</v>
      </c>
      <c r="K11" s="76" t="s">
        <v>20</v>
      </c>
      <c r="L11" s="217">
        <v>70.0</v>
      </c>
      <c r="M11" s="217">
        <v>1.0</v>
      </c>
      <c r="N11" s="64">
        <f t="shared" si="3"/>
        <v>10.5</v>
      </c>
      <c r="O11" s="63" t="s">
        <v>19</v>
      </c>
      <c r="P11" s="218">
        <v>65.0</v>
      </c>
      <c r="Q11" s="218">
        <v>1.0</v>
      </c>
      <c r="R11" s="218">
        <f t="shared" si="4"/>
        <v>9.75</v>
      </c>
      <c r="S11" s="218" t="s">
        <v>57</v>
      </c>
      <c r="T11" s="219">
        <v>70.0</v>
      </c>
      <c r="U11" s="219">
        <v>1.0</v>
      </c>
      <c r="V11" s="220">
        <f t="shared" si="5"/>
        <v>10.5</v>
      </c>
      <c r="W11" s="221" t="s">
        <v>57</v>
      </c>
      <c r="X11" s="222">
        <v>75.0</v>
      </c>
      <c r="Y11" s="222">
        <v>1.0</v>
      </c>
      <c r="Z11" s="223">
        <f t="shared" si="6"/>
        <v>11.25</v>
      </c>
      <c r="AA11" s="224" t="s">
        <v>57</v>
      </c>
      <c r="AB11" s="225">
        <v>100.0</v>
      </c>
      <c r="AC11" s="225">
        <v>1.0</v>
      </c>
      <c r="AD11" s="225">
        <f t="shared" si="7"/>
        <v>15</v>
      </c>
      <c r="AE11" s="225" t="s">
        <v>19</v>
      </c>
      <c r="AF11" s="58">
        <v>170.0</v>
      </c>
      <c r="AG11" s="58">
        <v>1.0</v>
      </c>
      <c r="AH11" s="226">
        <f t="shared" si="8"/>
        <v>25.5</v>
      </c>
      <c r="AI11" s="227" t="s">
        <v>58</v>
      </c>
      <c r="AJ11" s="228">
        <v>220.0</v>
      </c>
      <c r="AK11" s="228">
        <v>1.0</v>
      </c>
      <c r="AL11" s="229">
        <f t="shared" si="9"/>
        <v>33</v>
      </c>
      <c r="AM11" s="230" t="s">
        <v>19</v>
      </c>
    </row>
    <row r="12" ht="15.75" customHeight="1">
      <c r="A12" s="236" t="s">
        <v>67</v>
      </c>
      <c r="B12" s="78">
        <v>1.0</v>
      </c>
      <c r="C12" s="79">
        <v>61.0</v>
      </c>
      <c r="D12" s="215">
        <v>5.0</v>
      </c>
      <c r="E12" s="215">
        <v>10.0</v>
      </c>
      <c r="F12" s="216">
        <f t="shared" si="1"/>
        <v>3.05</v>
      </c>
      <c r="G12" s="215" t="s">
        <v>19</v>
      </c>
      <c r="H12" s="76">
        <v>5.0</v>
      </c>
      <c r="I12" s="76">
        <v>10.0</v>
      </c>
      <c r="J12" s="76">
        <f t="shared" si="2"/>
        <v>3.05</v>
      </c>
      <c r="K12" s="76" t="s">
        <v>20</v>
      </c>
      <c r="L12" s="217">
        <v>170.0</v>
      </c>
      <c r="M12" s="217">
        <v>1.0</v>
      </c>
      <c r="N12" s="64">
        <f t="shared" si="3"/>
        <v>10.37</v>
      </c>
      <c r="O12" s="63" t="s">
        <v>19</v>
      </c>
      <c r="P12" s="218">
        <v>120.0</v>
      </c>
      <c r="Q12" s="218">
        <v>1.0</v>
      </c>
      <c r="R12" s="218">
        <f t="shared" si="4"/>
        <v>7.32</v>
      </c>
      <c r="S12" s="218" t="s">
        <v>57</v>
      </c>
      <c r="T12" s="219">
        <v>150.0</v>
      </c>
      <c r="U12" s="219">
        <v>1.0</v>
      </c>
      <c r="V12" s="220">
        <f t="shared" si="5"/>
        <v>9.15</v>
      </c>
      <c r="W12" s="221" t="s">
        <v>57</v>
      </c>
      <c r="X12" s="222">
        <v>120.0</v>
      </c>
      <c r="Y12" s="222">
        <v>1.0</v>
      </c>
      <c r="Z12" s="223">
        <f t="shared" si="6"/>
        <v>7.32</v>
      </c>
      <c r="AA12" s="224" t="s">
        <v>57</v>
      </c>
      <c r="AB12" s="225">
        <v>100.0</v>
      </c>
      <c r="AC12" s="225">
        <v>1.0</v>
      </c>
      <c r="AD12" s="225">
        <f t="shared" si="7"/>
        <v>6.1</v>
      </c>
      <c r="AE12" s="225" t="s">
        <v>19</v>
      </c>
      <c r="AF12" s="58">
        <v>200.0</v>
      </c>
      <c r="AG12" s="58">
        <v>1.0</v>
      </c>
      <c r="AH12" s="226">
        <f t="shared" si="8"/>
        <v>12.2</v>
      </c>
      <c r="AI12" s="227" t="s">
        <v>58</v>
      </c>
      <c r="AJ12" s="228">
        <v>220.0</v>
      </c>
      <c r="AK12" s="228">
        <v>1.0</v>
      </c>
      <c r="AL12" s="229">
        <f t="shared" si="9"/>
        <v>13.42</v>
      </c>
      <c r="AM12" s="230" t="s">
        <v>19</v>
      </c>
    </row>
    <row r="13" ht="15.75" customHeight="1">
      <c r="A13" s="238"/>
      <c r="B13" s="239"/>
      <c r="C13" s="239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"/>
      <c r="U13" s="1"/>
      <c r="V13" s="1"/>
      <c r="W13" s="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  <c r="AL13" s="191"/>
      <c r="AM13" s="191"/>
    </row>
    <row r="14" ht="15.75" customHeight="1">
      <c r="A14" s="240" t="s">
        <v>68</v>
      </c>
      <c r="B14" s="240"/>
      <c r="C14" s="241">
        <f>SUM(C3:C12)</f>
        <v>2225</v>
      </c>
      <c r="D14" s="242"/>
      <c r="E14" s="242"/>
      <c r="F14" s="243">
        <f>F3+F4+F5+F6+F7+F8+F9+F10+F11+F12</f>
        <v>84.3</v>
      </c>
      <c r="G14" s="242"/>
      <c r="H14" s="242"/>
      <c r="I14" s="242"/>
      <c r="J14" s="244">
        <f>SUM(J3+J4+J5+J6+J7+J8+J9+J10+J11+J12)</f>
        <v>111.25</v>
      </c>
      <c r="K14" s="242"/>
      <c r="L14" s="245"/>
      <c r="M14" s="245"/>
      <c r="N14" s="243">
        <f>SUM(N3:N12)</f>
        <v>127.14</v>
      </c>
      <c r="O14" s="245"/>
      <c r="P14" s="242"/>
      <c r="Q14" s="242"/>
      <c r="R14" s="246">
        <f>SUM(R3:R12)</f>
        <v>139.88</v>
      </c>
      <c r="S14" s="242"/>
      <c r="T14" s="242"/>
      <c r="U14" s="242"/>
      <c r="V14" s="247">
        <f>SUM(V3:V12)</f>
        <v>130.77</v>
      </c>
      <c r="W14" s="242"/>
      <c r="X14" s="245"/>
      <c r="Y14" s="245"/>
      <c r="Z14" s="243">
        <f>SUM(Z3:Z12)</f>
        <v>116.315</v>
      </c>
      <c r="AA14" s="245"/>
      <c r="AB14" s="242"/>
      <c r="AC14" s="242"/>
      <c r="AD14" s="244">
        <f>AD3+AD4+AD5+AD6+AD7+AD8+AD9+AD10+AD11+AD12</f>
        <v>222.5</v>
      </c>
      <c r="AE14" s="242"/>
      <c r="AF14" s="242"/>
      <c r="AG14" s="242"/>
      <c r="AH14" s="243">
        <f>AH3+AH4+AH5+AH6+AH7+AH8+AH9+AH10+AH11+AH12</f>
        <v>380.08</v>
      </c>
      <c r="AI14" s="242"/>
      <c r="AJ14" s="245"/>
      <c r="AK14" s="245"/>
      <c r="AL14" s="243">
        <f>AL3+AL4+AL5+AL6+AL7+AL8+AL9+AL10+AL11+AL12</f>
        <v>489.5</v>
      </c>
      <c r="AM14" s="245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F1:AI1"/>
    <mergeCell ref="AJ1:AM1"/>
    <mergeCell ref="D1:G1"/>
    <mergeCell ref="H1:K1"/>
    <mergeCell ref="L1:O1"/>
    <mergeCell ref="P1:S1"/>
    <mergeCell ref="T1:W1"/>
    <mergeCell ref="X1:AA1"/>
    <mergeCell ref="AB1:A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38.63"/>
    <col customWidth="1" min="2" max="2" width="4.63"/>
    <col customWidth="1" min="3" max="3" width="7.88"/>
    <col customWidth="1" min="4" max="4" width="3.5"/>
    <col customWidth="1" min="5" max="5" width="3.63"/>
    <col customWidth="1" min="6" max="6" width="8.88"/>
    <col customWidth="1" min="7" max="7" width="12.38"/>
    <col customWidth="1" min="8" max="8" width="3.0"/>
    <col customWidth="1" min="9" max="9" width="3.25"/>
    <col customWidth="1" min="10" max="10" width="9.38"/>
    <col customWidth="1" min="11" max="11" width="12.38"/>
    <col customWidth="1" min="12" max="13" width="4.88"/>
    <col customWidth="1" min="14" max="14" width="8.88"/>
    <col customWidth="1" min="15" max="15" width="12.38"/>
    <col customWidth="1" min="16" max="17" width="4.88"/>
    <col customWidth="1" min="18" max="18" width="8.88"/>
    <col customWidth="1" min="19" max="19" width="12.38"/>
    <col customWidth="1" min="20" max="21" width="4.88"/>
    <col customWidth="1" min="22" max="22" width="8.88"/>
    <col customWidth="1" min="23" max="23" width="12.38"/>
    <col customWidth="1" min="24" max="24" width="4.88"/>
    <col customWidth="1" min="25" max="25" width="4.25"/>
    <col customWidth="1" min="26" max="26" width="8.88"/>
    <col customWidth="1" min="27" max="27" width="12.38"/>
    <col customWidth="1" min="28" max="29" width="4.63"/>
    <col customWidth="1" min="30" max="30" width="8.88"/>
    <col customWidth="1" min="31" max="31" width="12.38"/>
    <col customWidth="1" min="32" max="33" width="4.75"/>
    <col customWidth="1" min="34" max="34" width="8.88"/>
    <col customWidth="1" min="35" max="35" width="12.38"/>
    <col customWidth="1" min="36" max="37" width="4.75"/>
    <col customWidth="1" min="38" max="38" width="8.88"/>
    <col customWidth="1" min="39" max="39" width="12.38"/>
  </cols>
  <sheetData>
    <row r="1" ht="15.75" customHeight="1">
      <c r="A1" s="191"/>
      <c r="B1" s="191"/>
      <c r="C1" s="191"/>
      <c r="D1" s="192" t="s">
        <v>50</v>
      </c>
      <c r="H1" s="193" t="s">
        <v>2</v>
      </c>
      <c r="L1" s="194" t="s">
        <v>51</v>
      </c>
      <c r="M1" s="18"/>
      <c r="N1" s="18"/>
      <c r="O1" s="15"/>
      <c r="P1" s="195" t="s">
        <v>3</v>
      </c>
      <c r="Q1" s="18"/>
      <c r="R1" s="18"/>
      <c r="S1" s="15"/>
      <c r="T1" s="196" t="s">
        <v>52</v>
      </c>
      <c r="U1" s="18"/>
      <c r="V1" s="18"/>
      <c r="W1" s="15"/>
      <c r="X1" s="197" t="s">
        <v>53</v>
      </c>
      <c r="Y1" s="18"/>
      <c r="Z1" s="18"/>
      <c r="AA1" s="15"/>
      <c r="AB1" s="24" t="s">
        <v>54</v>
      </c>
      <c r="AC1" s="18"/>
      <c r="AD1" s="18"/>
      <c r="AE1" s="15"/>
      <c r="AF1" s="161" t="s">
        <v>55</v>
      </c>
      <c r="AG1" s="18"/>
      <c r="AH1" s="18"/>
      <c r="AI1" s="15"/>
      <c r="AJ1" s="198" t="s">
        <v>7</v>
      </c>
      <c r="AK1" s="18"/>
      <c r="AL1" s="18"/>
      <c r="AM1" s="15"/>
    </row>
    <row r="2" ht="15.75" customHeight="1">
      <c r="A2" s="199"/>
      <c r="B2" s="28" t="s">
        <v>12</v>
      </c>
      <c r="C2" s="28" t="s">
        <v>13</v>
      </c>
      <c r="D2" s="200" t="s">
        <v>14</v>
      </c>
      <c r="E2" s="201" t="s">
        <v>15</v>
      </c>
      <c r="F2" s="201" t="s">
        <v>16</v>
      </c>
      <c r="G2" s="201" t="s">
        <v>17</v>
      </c>
      <c r="H2" s="31" t="s">
        <v>14</v>
      </c>
      <c r="I2" s="32" t="s">
        <v>15</v>
      </c>
      <c r="J2" s="32" t="s">
        <v>16</v>
      </c>
      <c r="K2" s="32" t="s">
        <v>17</v>
      </c>
      <c r="L2" s="37" t="s">
        <v>14</v>
      </c>
      <c r="M2" s="38" t="s">
        <v>15</v>
      </c>
      <c r="N2" s="38" t="s">
        <v>16</v>
      </c>
      <c r="O2" s="38" t="s">
        <v>17</v>
      </c>
      <c r="P2" s="202" t="s">
        <v>14</v>
      </c>
      <c r="Q2" s="203" t="s">
        <v>15</v>
      </c>
      <c r="R2" s="203" t="s">
        <v>16</v>
      </c>
      <c r="S2" s="203" t="s">
        <v>17</v>
      </c>
      <c r="T2" s="204" t="s">
        <v>14</v>
      </c>
      <c r="U2" s="205" t="s">
        <v>15</v>
      </c>
      <c r="V2" s="205" t="s">
        <v>16</v>
      </c>
      <c r="W2" s="205" t="s">
        <v>17</v>
      </c>
      <c r="X2" s="206" t="s">
        <v>14</v>
      </c>
      <c r="Y2" s="207" t="s">
        <v>15</v>
      </c>
      <c r="Z2" s="207" t="s">
        <v>16</v>
      </c>
      <c r="AA2" s="207" t="s">
        <v>17</v>
      </c>
      <c r="AB2" s="208" t="s">
        <v>14</v>
      </c>
      <c r="AC2" s="209" t="s">
        <v>15</v>
      </c>
      <c r="AD2" s="209" t="s">
        <v>16</v>
      </c>
      <c r="AE2" s="209" t="s">
        <v>17</v>
      </c>
      <c r="AF2" s="210" t="s">
        <v>14</v>
      </c>
      <c r="AG2" s="211" t="s">
        <v>15</v>
      </c>
      <c r="AH2" s="211" t="s">
        <v>16</v>
      </c>
      <c r="AI2" s="211" t="s">
        <v>17</v>
      </c>
      <c r="AJ2" s="212" t="s">
        <v>14</v>
      </c>
      <c r="AK2" s="213" t="s">
        <v>15</v>
      </c>
      <c r="AL2" s="213" t="s">
        <v>16</v>
      </c>
      <c r="AM2" s="213" t="s">
        <v>17</v>
      </c>
    </row>
    <row r="3" ht="15.75" customHeight="1">
      <c r="A3" s="214" t="s">
        <v>56</v>
      </c>
      <c r="B3" s="78">
        <v>1.0</v>
      </c>
      <c r="C3" s="79">
        <v>295.0</v>
      </c>
      <c r="D3" s="215">
        <v>5.0</v>
      </c>
      <c r="E3" s="215">
        <v>10.0</v>
      </c>
      <c r="F3" s="216">
        <f t="shared" ref="F3:F12" si="1">D3*E3*C3/1000</f>
        <v>14.75</v>
      </c>
      <c r="G3" s="215" t="s">
        <v>19</v>
      </c>
      <c r="H3" s="76">
        <v>5.0</v>
      </c>
      <c r="I3" s="76">
        <v>10.0</v>
      </c>
      <c r="J3" s="76">
        <f t="shared" ref="J3:J12" si="2">H3*I3*C3/1000</f>
        <v>14.75</v>
      </c>
      <c r="K3" s="76" t="s">
        <v>20</v>
      </c>
      <c r="L3" s="217">
        <v>45.0</v>
      </c>
      <c r="M3" s="217">
        <v>1.0</v>
      </c>
      <c r="N3" s="64">
        <f t="shared" ref="N3:N12" si="3">L3*M3*C3/1000</f>
        <v>13.275</v>
      </c>
      <c r="O3" s="63" t="s">
        <v>19</v>
      </c>
      <c r="P3" s="218">
        <v>55.0</v>
      </c>
      <c r="Q3" s="218">
        <v>1.0</v>
      </c>
      <c r="R3" s="218">
        <f t="shared" ref="R3:R12" si="4">P3*Q3*C3/1000</f>
        <v>16.225</v>
      </c>
      <c r="S3" s="218" t="s">
        <v>57</v>
      </c>
      <c r="T3" s="219">
        <v>45.0</v>
      </c>
      <c r="U3" s="219">
        <v>1.0</v>
      </c>
      <c r="V3" s="220">
        <f t="shared" ref="V3:V12" si="5">T3*U3*C3/1000</f>
        <v>13.275</v>
      </c>
      <c r="W3" s="221" t="s">
        <v>57</v>
      </c>
      <c r="X3" s="222">
        <v>40.0</v>
      </c>
      <c r="Y3" s="222">
        <v>1.0</v>
      </c>
      <c r="Z3" s="223">
        <f t="shared" ref="Z3:Z12" si="6">X3*Y3*C3/1000</f>
        <v>11.8</v>
      </c>
      <c r="AA3" s="224" t="s">
        <v>57</v>
      </c>
      <c r="AB3" s="225">
        <v>100.0</v>
      </c>
      <c r="AC3" s="225">
        <v>1.0</v>
      </c>
      <c r="AD3" s="225">
        <f t="shared" ref="AD3:AD12" si="7">AB3*AC3*C3/1000</f>
        <v>29.5</v>
      </c>
      <c r="AE3" s="225" t="s">
        <v>19</v>
      </c>
      <c r="AF3" s="58">
        <v>170.0</v>
      </c>
      <c r="AG3" s="58">
        <v>1.0</v>
      </c>
      <c r="AH3" s="226">
        <f t="shared" ref="AH3:AH12" si="8">AF3*AG3*C3/1000</f>
        <v>50.15</v>
      </c>
      <c r="AI3" s="227" t="s">
        <v>58</v>
      </c>
      <c r="AJ3" s="228">
        <v>220.0</v>
      </c>
      <c r="AK3" s="228">
        <v>1.0</v>
      </c>
      <c r="AL3" s="229">
        <f t="shared" ref="AL3:AL12" si="9">AJ3*AK3*C3/1000</f>
        <v>64.9</v>
      </c>
      <c r="AM3" s="230" t="s">
        <v>19</v>
      </c>
    </row>
    <row r="4" ht="15.75" customHeight="1">
      <c r="A4" s="231" t="s">
        <v>59</v>
      </c>
      <c r="B4" s="152">
        <v>1.0</v>
      </c>
      <c r="C4" s="153">
        <v>342.0</v>
      </c>
      <c r="D4" s="215">
        <v>5.0</v>
      </c>
      <c r="E4" s="215">
        <v>10.0</v>
      </c>
      <c r="F4" s="216">
        <f t="shared" si="1"/>
        <v>17.1</v>
      </c>
      <c r="G4" s="215" t="s">
        <v>19</v>
      </c>
      <c r="H4" s="76">
        <v>5.0</v>
      </c>
      <c r="I4" s="76">
        <v>10.0</v>
      </c>
      <c r="J4" s="76">
        <f t="shared" si="2"/>
        <v>17.1</v>
      </c>
      <c r="K4" s="76" t="s">
        <v>20</v>
      </c>
      <c r="L4" s="217">
        <v>45.0</v>
      </c>
      <c r="M4" s="217">
        <v>1.0</v>
      </c>
      <c r="N4" s="64">
        <f t="shared" si="3"/>
        <v>15.39</v>
      </c>
      <c r="O4" s="63" t="s">
        <v>19</v>
      </c>
      <c r="P4" s="218">
        <v>55.0</v>
      </c>
      <c r="Q4" s="218">
        <v>1.0</v>
      </c>
      <c r="R4" s="218">
        <f t="shared" si="4"/>
        <v>18.81</v>
      </c>
      <c r="S4" s="218" t="s">
        <v>57</v>
      </c>
      <c r="T4" s="219">
        <v>45.0</v>
      </c>
      <c r="U4" s="219">
        <v>1.0</v>
      </c>
      <c r="V4" s="220">
        <f t="shared" si="5"/>
        <v>15.39</v>
      </c>
      <c r="W4" s="221" t="s">
        <v>57</v>
      </c>
      <c r="X4" s="222">
        <v>40.0</v>
      </c>
      <c r="Y4" s="222">
        <v>1.0</v>
      </c>
      <c r="Z4" s="223">
        <f t="shared" si="6"/>
        <v>13.68</v>
      </c>
      <c r="AA4" s="224" t="s">
        <v>57</v>
      </c>
      <c r="AB4" s="225">
        <v>100.0</v>
      </c>
      <c r="AC4" s="225">
        <v>1.0</v>
      </c>
      <c r="AD4" s="225">
        <f t="shared" si="7"/>
        <v>34.2</v>
      </c>
      <c r="AE4" s="225" t="s">
        <v>19</v>
      </c>
      <c r="AF4" s="58">
        <v>170.0</v>
      </c>
      <c r="AG4" s="58">
        <v>1.0</v>
      </c>
      <c r="AH4" s="226">
        <f t="shared" si="8"/>
        <v>58.14</v>
      </c>
      <c r="AI4" s="227" t="s">
        <v>58</v>
      </c>
      <c r="AJ4" s="228">
        <v>220.0</v>
      </c>
      <c r="AK4" s="228">
        <v>1.0</v>
      </c>
      <c r="AL4" s="229">
        <f t="shared" si="9"/>
        <v>75.24</v>
      </c>
      <c r="AM4" s="230" t="s">
        <v>19</v>
      </c>
    </row>
    <row r="5" ht="15.75" customHeight="1">
      <c r="A5" s="231" t="s">
        <v>60</v>
      </c>
      <c r="B5" s="152">
        <v>1.0</v>
      </c>
      <c r="C5" s="153">
        <v>221.0</v>
      </c>
      <c r="D5" s="215">
        <v>5.0</v>
      </c>
      <c r="E5" s="215">
        <v>10.0</v>
      </c>
      <c r="F5" s="216">
        <f t="shared" si="1"/>
        <v>11.05</v>
      </c>
      <c r="G5" s="215" t="s">
        <v>19</v>
      </c>
      <c r="H5" s="76">
        <v>5.0</v>
      </c>
      <c r="I5" s="76">
        <v>10.0</v>
      </c>
      <c r="J5" s="76">
        <f t="shared" si="2"/>
        <v>11.05</v>
      </c>
      <c r="K5" s="76" t="s">
        <v>20</v>
      </c>
      <c r="L5" s="217">
        <v>50.0</v>
      </c>
      <c r="M5" s="217">
        <v>1.0</v>
      </c>
      <c r="N5" s="64">
        <f t="shared" si="3"/>
        <v>11.05</v>
      </c>
      <c r="O5" s="63" t="s">
        <v>19</v>
      </c>
      <c r="P5" s="218">
        <v>55.0</v>
      </c>
      <c r="Q5" s="218">
        <v>1.0</v>
      </c>
      <c r="R5" s="218">
        <f t="shared" si="4"/>
        <v>12.155</v>
      </c>
      <c r="S5" s="218" t="s">
        <v>57</v>
      </c>
      <c r="T5" s="219">
        <v>50.0</v>
      </c>
      <c r="U5" s="219">
        <v>1.0</v>
      </c>
      <c r="V5" s="220">
        <f t="shared" si="5"/>
        <v>11.05</v>
      </c>
      <c r="W5" s="221" t="s">
        <v>57</v>
      </c>
      <c r="X5" s="222">
        <v>50.0</v>
      </c>
      <c r="Y5" s="222">
        <v>1.0</v>
      </c>
      <c r="Z5" s="223">
        <f t="shared" si="6"/>
        <v>11.05</v>
      </c>
      <c r="AA5" s="224" t="s">
        <v>57</v>
      </c>
      <c r="AB5" s="225">
        <v>100.0</v>
      </c>
      <c r="AC5" s="225">
        <v>1.0</v>
      </c>
      <c r="AD5" s="225">
        <f t="shared" si="7"/>
        <v>22.1</v>
      </c>
      <c r="AE5" s="225" t="s">
        <v>19</v>
      </c>
      <c r="AF5" s="58">
        <v>170.0</v>
      </c>
      <c r="AG5" s="58">
        <v>1.0</v>
      </c>
      <c r="AH5" s="226">
        <f t="shared" si="8"/>
        <v>37.57</v>
      </c>
      <c r="AI5" s="227" t="s">
        <v>58</v>
      </c>
      <c r="AJ5" s="228">
        <v>220.0</v>
      </c>
      <c r="AK5" s="228">
        <v>1.0</v>
      </c>
      <c r="AL5" s="229">
        <f t="shared" si="9"/>
        <v>48.62</v>
      </c>
      <c r="AM5" s="230" t="s">
        <v>19</v>
      </c>
    </row>
    <row r="6" ht="15.75" customHeight="1">
      <c r="A6" s="231" t="s">
        <v>61</v>
      </c>
      <c r="B6" s="232">
        <v>1.0</v>
      </c>
      <c r="C6" s="233">
        <v>159.0</v>
      </c>
      <c r="D6" s="215">
        <v>5.0</v>
      </c>
      <c r="E6" s="215">
        <v>10.0</v>
      </c>
      <c r="F6" s="216">
        <f t="shared" si="1"/>
        <v>7.95</v>
      </c>
      <c r="G6" s="215" t="s">
        <v>19</v>
      </c>
      <c r="H6" s="234">
        <v>5.0</v>
      </c>
      <c r="I6" s="76">
        <v>10.0</v>
      </c>
      <c r="J6" s="76">
        <f t="shared" si="2"/>
        <v>7.95</v>
      </c>
      <c r="K6" s="76" t="s">
        <v>20</v>
      </c>
      <c r="L6" s="217">
        <v>65.0</v>
      </c>
      <c r="M6" s="217">
        <v>1.0</v>
      </c>
      <c r="N6" s="64">
        <f t="shared" si="3"/>
        <v>10.335</v>
      </c>
      <c r="O6" s="63" t="s">
        <v>19</v>
      </c>
      <c r="P6" s="218">
        <v>70.0</v>
      </c>
      <c r="Q6" s="218">
        <v>1.0</v>
      </c>
      <c r="R6" s="218">
        <f t="shared" si="4"/>
        <v>11.13</v>
      </c>
      <c r="S6" s="218" t="s">
        <v>57</v>
      </c>
      <c r="T6" s="219">
        <v>65.0</v>
      </c>
      <c r="U6" s="219">
        <v>1.0</v>
      </c>
      <c r="V6" s="220">
        <f t="shared" si="5"/>
        <v>10.335</v>
      </c>
      <c r="W6" s="221" t="s">
        <v>57</v>
      </c>
      <c r="X6" s="222">
        <v>65.0</v>
      </c>
      <c r="Y6" s="222">
        <v>1.0</v>
      </c>
      <c r="Z6" s="223">
        <f t="shared" si="6"/>
        <v>10.335</v>
      </c>
      <c r="AA6" s="224" t="s">
        <v>57</v>
      </c>
      <c r="AB6" s="225">
        <v>100.0</v>
      </c>
      <c r="AC6" s="225">
        <v>1.0</v>
      </c>
      <c r="AD6" s="225">
        <f t="shared" si="7"/>
        <v>15.9</v>
      </c>
      <c r="AE6" s="225" t="s">
        <v>19</v>
      </c>
      <c r="AF6" s="58">
        <v>170.0</v>
      </c>
      <c r="AG6" s="58">
        <v>1.0</v>
      </c>
      <c r="AH6" s="226">
        <f t="shared" si="8"/>
        <v>27.03</v>
      </c>
      <c r="AI6" s="227" t="s">
        <v>58</v>
      </c>
      <c r="AJ6" s="228">
        <v>220.0</v>
      </c>
      <c r="AK6" s="228">
        <v>1.0</v>
      </c>
      <c r="AL6" s="229">
        <f t="shared" si="9"/>
        <v>34.98</v>
      </c>
      <c r="AM6" s="230" t="s">
        <v>19</v>
      </c>
    </row>
    <row r="7" ht="15.75" customHeight="1">
      <c r="A7" s="235" t="s">
        <v>62</v>
      </c>
      <c r="B7" s="78">
        <v>1.0</v>
      </c>
      <c r="C7" s="79">
        <v>69.0</v>
      </c>
      <c r="D7" s="215">
        <v>5.0</v>
      </c>
      <c r="E7" s="215">
        <v>10.0</v>
      </c>
      <c r="F7" s="216">
        <f t="shared" si="1"/>
        <v>3.45</v>
      </c>
      <c r="G7" s="215" t="s">
        <v>19</v>
      </c>
      <c r="H7" s="76">
        <v>5.0</v>
      </c>
      <c r="I7" s="76">
        <v>10.0</v>
      </c>
      <c r="J7" s="76">
        <f t="shared" si="2"/>
        <v>3.45</v>
      </c>
      <c r="K7" s="76" t="s">
        <v>20</v>
      </c>
      <c r="L7" s="217">
        <v>150.0</v>
      </c>
      <c r="M7" s="217">
        <v>1.0</v>
      </c>
      <c r="N7" s="64">
        <f t="shared" si="3"/>
        <v>10.35</v>
      </c>
      <c r="O7" s="63" t="s">
        <v>19</v>
      </c>
      <c r="P7" s="218">
        <v>130.0</v>
      </c>
      <c r="Q7" s="218">
        <v>1.0</v>
      </c>
      <c r="R7" s="218">
        <f t="shared" si="4"/>
        <v>8.97</v>
      </c>
      <c r="S7" s="218" t="s">
        <v>57</v>
      </c>
      <c r="T7" s="219">
        <v>150.0</v>
      </c>
      <c r="U7" s="219">
        <v>1.0</v>
      </c>
      <c r="V7" s="220">
        <f t="shared" si="5"/>
        <v>10.35</v>
      </c>
      <c r="W7" s="221" t="s">
        <v>57</v>
      </c>
      <c r="X7" s="222">
        <v>120.0</v>
      </c>
      <c r="Y7" s="222">
        <v>1.0</v>
      </c>
      <c r="Z7" s="223">
        <f t="shared" si="6"/>
        <v>8.28</v>
      </c>
      <c r="AA7" s="224" t="s">
        <v>57</v>
      </c>
      <c r="AB7" s="225">
        <v>100.0</v>
      </c>
      <c r="AC7" s="225">
        <v>1.0</v>
      </c>
      <c r="AD7" s="225">
        <f t="shared" si="7"/>
        <v>6.9</v>
      </c>
      <c r="AE7" s="225" t="s">
        <v>19</v>
      </c>
      <c r="AF7" s="58">
        <v>170.0</v>
      </c>
      <c r="AG7" s="58">
        <v>1.0</v>
      </c>
      <c r="AH7" s="226">
        <f t="shared" si="8"/>
        <v>11.73</v>
      </c>
      <c r="AI7" s="227" t="s">
        <v>58</v>
      </c>
      <c r="AJ7" s="228">
        <v>220.0</v>
      </c>
      <c r="AK7" s="228">
        <v>1.0</v>
      </c>
      <c r="AL7" s="229">
        <f t="shared" si="9"/>
        <v>15.18</v>
      </c>
      <c r="AM7" s="230" t="s">
        <v>19</v>
      </c>
    </row>
    <row r="8" ht="15.75" customHeight="1">
      <c r="A8" s="236" t="s">
        <v>63</v>
      </c>
      <c r="B8" s="78">
        <v>1.0</v>
      </c>
      <c r="C8" s="79">
        <v>306.0</v>
      </c>
      <c r="D8" s="215">
        <v>5.0</v>
      </c>
      <c r="E8" s="215">
        <v>5.0</v>
      </c>
      <c r="F8" s="216">
        <f t="shared" si="1"/>
        <v>7.65</v>
      </c>
      <c r="G8" s="215" t="s">
        <v>19</v>
      </c>
      <c r="H8" s="76">
        <v>5.0</v>
      </c>
      <c r="I8" s="76">
        <v>10.0</v>
      </c>
      <c r="J8" s="76">
        <f t="shared" si="2"/>
        <v>15.3</v>
      </c>
      <c r="K8" s="76" t="s">
        <v>20</v>
      </c>
      <c r="L8" s="217">
        <v>45.0</v>
      </c>
      <c r="M8" s="217">
        <v>1.0</v>
      </c>
      <c r="N8" s="64">
        <f t="shared" si="3"/>
        <v>13.77</v>
      </c>
      <c r="O8" s="63" t="s">
        <v>19</v>
      </c>
      <c r="P8" s="218">
        <v>55.0</v>
      </c>
      <c r="Q8" s="218">
        <v>1.0</v>
      </c>
      <c r="R8" s="218">
        <f t="shared" si="4"/>
        <v>16.83</v>
      </c>
      <c r="S8" s="218" t="s">
        <v>57</v>
      </c>
      <c r="T8" s="219">
        <v>45.0</v>
      </c>
      <c r="U8" s="219">
        <v>1.0</v>
      </c>
      <c r="V8" s="220">
        <f t="shared" si="5"/>
        <v>13.77</v>
      </c>
      <c r="W8" s="221" t="s">
        <v>57</v>
      </c>
      <c r="X8" s="222">
        <v>40.0</v>
      </c>
      <c r="Y8" s="222">
        <v>1.0</v>
      </c>
      <c r="Z8" s="223">
        <f t="shared" si="6"/>
        <v>12.24</v>
      </c>
      <c r="AA8" s="224" t="s">
        <v>57</v>
      </c>
      <c r="AB8" s="225">
        <v>100.0</v>
      </c>
      <c r="AC8" s="225">
        <v>1.0</v>
      </c>
      <c r="AD8" s="225">
        <f t="shared" si="7"/>
        <v>30.6</v>
      </c>
      <c r="AE8" s="225" t="s">
        <v>19</v>
      </c>
      <c r="AF8" s="58">
        <v>170.0</v>
      </c>
      <c r="AG8" s="58">
        <v>1.0</v>
      </c>
      <c r="AH8" s="226">
        <f t="shared" si="8"/>
        <v>52.02</v>
      </c>
      <c r="AI8" s="227" t="s">
        <v>58</v>
      </c>
      <c r="AJ8" s="228">
        <v>220.0</v>
      </c>
      <c r="AK8" s="228">
        <v>1.0</v>
      </c>
      <c r="AL8" s="229">
        <f t="shared" si="9"/>
        <v>67.32</v>
      </c>
      <c r="AM8" s="230" t="s">
        <v>19</v>
      </c>
    </row>
    <row r="9" ht="15.75" customHeight="1">
      <c r="A9" s="236" t="s">
        <v>64</v>
      </c>
      <c r="B9" s="78">
        <v>1.0</v>
      </c>
      <c r="C9" s="79">
        <v>137.0</v>
      </c>
      <c r="D9" s="215">
        <v>5.0</v>
      </c>
      <c r="E9" s="215">
        <v>5.0</v>
      </c>
      <c r="F9" s="216">
        <f t="shared" si="1"/>
        <v>3.425</v>
      </c>
      <c r="G9" s="215" t="s">
        <v>19</v>
      </c>
      <c r="H9" s="76">
        <v>5.0</v>
      </c>
      <c r="I9" s="76">
        <v>10.0</v>
      </c>
      <c r="J9" s="76">
        <f t="shared" si="2"/>
        <v>6.85</v>
      </c>
      <c r="K9" s="76" t="s">
        <v>20</v>
      </c>
      <c r="L9" s="217">
        <v>75.0</v>
      </c>
      <c r="M9" s="217">
        <v>1.0</v>
      </c>
      <c r="N9" s="64">
        <f t="shared" si="3"/>
        <v>10.275</v>
      </c>
      <c r="O9" s="63" t="s">
        <v>19</v>
      </c>
      <c r="P9" s="218">
        <v>70.0</v>
      </c>
      <c r="Q9" s="218">
        <v>1.0</v>
      </c>
      <c r="R9" s="218">
        <f t="shared" si="4"/>
        <v>9.59</v>
      </c>
      <c r="S9" s="218" t="s">
        <v>57</v>
      </c>
      <c r="T9" s="219">
        <v>75.0</v>
      </c>
      <c r="U9" s="219">
        <v>1.0</v>
      </c>
      <c r="V9" s="220">
        <f t="shared" si="5"/>
        <v>10.275</v>
      </c>
      <c r="W9" s="221" t="s">
        <v>57</v>
      </c>
      <c r="X9" s="222">
        <v>80.0</v>
      </c>
      <c r="Y9" s="222">
        <v>1.0</v>
      </c>
      <c r="Z9" s="223">
        <f t="shared" si="6"/>
        <v>10.96</v>
      </c>
      <c r="AA9" s="224" t="s">
        <v>57</v>
      </c>
      <c r="AB9" s="225">
        <v>100.0</v>
      </c>
      <c r="AC9" s="225">
        <v>1.0</v>
      </c>
      <c r="AD9" s="225">
        <f t="shared" si="7"/>
        <v>13.7</v>
      </c>
      <c r="AE9" s="225" t="s">
        <v>19</v>
      </c>
      <c r="AF9" s="58">
        <v>170.0</v>
      </c>
      <c r="AG9" s="58">
        <v>1.0</v>
      </c>
      <c r="AH9" s="226">
        <f t="shared" si="8"/>
        <v>23.29</v>
      </c>
      <c r="AI9" s="227" t="s">
        <v>58</v>
      </c>
      <c r="AJ9" s="228">
        <v>220.0</v>
      </c>
      <c r="AK9" s="228">
        <v>1.0</v>
      </c>
      <c r="AL9" s="229">
        <f t="shared" si="9"/>
        <v>30.14</v>
      </c>
      <c r="AM9" s="230" t="s">
        <v>19</v>
      </c>
    </row>
    <row r="10" ht="15.75" customHeight="1">
      <c r="A10" s="236" t="s">
        <v>65</v>
      </c>
      <c r="B10" s="152">
        <v>1.0</v>
      </c>
      <c r="C10" s="153">
        <v>485.0</v>
      </c>
      <c r="D10" s="215">
        <v>5.0</v>
      </c>
      <c r="E10" s="215">
        <v>5.0</v>
      </c>
      <c r="F10" s="216">
        <f t="shared" si="1"/>
        <v>12.125</v>
      </c>
      <c r="G10" s="215" t="s">
        <v>19</v>
      </c>
      <c r="H10" s="237">
        <v>5.0</v>
      </c>
      <c r="I10" s="76">
        <v>10.0</v>
      </c>
      <c r="J10" s="76">
        <f t="shared" si="2"/>
        <v>24.25</v>
      </c>
      <c r="K10" s="76" t="s">
        <v>20</v>
      </c>
      <c r="L10" s="217">
        <v>45.0</v>
      </c>
      <c r="M10" s="217">
        <v>1.0</v>
      </c>
      <c r="N10" s="64">
        <f t="shared" si="3"/>
        <v>21.825</v>
      </c>
      <c r="O10" s="63" t="s">
        <v>19</v>
      </c>
      <c r="P10" s="218">
        <v>60.0</v>
      </c>
      <c r="Q10" s="218">
        <v>1.0</v>
      </c>
      <c r="R10" s="218">
        <f t="shared" si="4"/>
        <v>29.1</v>
      </c>
      <c r="S10" s="218" t="s">
        <v>57</v>
      </c>
      <c r="T10" s="219">
        <v>55.0</v>
      </c>
      <c r="U10" s="219">
        <v>1.0</v>
      </c>
      <c r="V10" s="220">
        <f t="shared" si="5"/>
        <v>26.675</v>
      </c>
      <c r="W10" s="221" t="s">
        <v>57</v>
      </c>
      <c r="X10" s="222">
        <v>40.0</v>
      </c>
      <c r="Y10" s="222">
        <v>1.0</v>
      </c>
      <c r="Z10" s="223">
        <f t="shared" si="6"/>
        <v>19.4</v>
      </c>
      <c r="AA10" s="224" t="s">
        <v>57</v>
      </c>
      <c r="AB10" s="225">
        <v>100.0</v>
      </c>
      <c r="AC10" s="225">
        <v>1.0</v>
      </c>
      <c r="AD10" s="225">
        <f t="shared" si="7"/>
        <v>48.5</v>
      </c>
      <c r="AE10" s="225" t="s">
        <v>19</v>
      </c>
      <c r="AF10" s="58">
        <v>170.0</v>
      </c>
      <c r="AG10" s="58">
        <v>1.0</v>
      </c>
      <c r="AH10" s="226">
        <f t="shared" si="8"/>
        <v>82.45</v>
      </c>
      <c r="AI10" s="227" t="s">
        <v>58</v>
      </c>
      <c r="AJ10" s="228">
        <v>220.0</v>
      </c>
      <c r="AK10" s="228">
        <v>1.0</v>
      </c>
      <c r="AL10" s="229">
        <f t="shared" si="9"/>
        <v>106.7</v>
      </c>
      <c r="AM10" s="230" t="s">
        <v>19</v>
      </c>
    </row>
    <row r="11" ht="15.75" customHeight="1">
      <c r="A11" s="236" t="s">
        <v>66</v>
      </c>
      <c r="B11" s="78">
        <v>1.0</v>
      </c>
      <c r="C11" s="79">
        <v>150.0</v>
      </c>
      <c r="D11" s="215">
        <v>5.0</v>
      </c>
      <c r="E11" s="215">
        <v>5.0</v>
      </c>
      <c r="F11" s="216">
        <f t="shared" si="1"/>
        <v>3.75</v>
      </c>
      <c r="G11" s="215" t="s">
        <v>19</v>
      </c>
      <c r="H11" s="76">
        <v>5.0</v>
      </c>
      <c r="I11" s="76">
        <v>10.0</v>
      </c>
      <c r="J11" s="76">
        <f t="shared" si="2"/>
        <v>7.5</v>
      </c>
      <c r="K11" s="76" t="s">
        <v>20</v>
      </c>
      <c r="L11" s="217">
        <v>70.0</v>
      </c>
      <c r="M11" s="217">
        <v>1.0</v>
      </c>
      <c r="N11" s="64">
        <f t="shared" si="3"/>
        <v>10.5</v>
      </c>
      <c r="O11" s="63" t="s">
        <v>19</v>
      </c>
      <c r="P11" s="218">
        <v>65.0</v>
      </c>
      <c r="Q11" s="218">
        <v>1.0</v>
      </c>
      <c r="R11" s="218">
        <f t="shared" si="4"/>
        <v>9.75</v>
      </c>
      <c r="S11" s="218" t="s">
        <v>57</v>
      </c>
      <c r="T11" s="219">
        <v>70.0</v>
      </c>
      <c r="U11" s="219">
        <v>1.0</v>
      </c>
      <c r="V11" s="220">
        <f t="shared" si="5"/>
        <v>10.5</v>
      </c>
      <c r="W11" s="221" t="s">
        <v>57</v>
      </c>
      <c r="X11" s="222">
        <v>75.0</v>
      </c>
      <c r="Y11" s="222">
        <v>1.0</v>
      </c>
      <c r="Z11" s="223">
        <f t="shared" si="6"/>
        <v>11.25</v>
      </c>
      <c r="AA11" s="224" t="s">
        <v>57</v>
      </c>
      <c r="AB11" s="225">
        <v>100.0</v>
      </c>
      <c r="AC11" s="225">
        <v>1.0</v>
      </c>
      <c r="AD11" s="225">
        <f t="shared" si="7"/>
        <v>15</v>
      </c>
      <c r="AE11" s="225" t="s">
        <v>19</v>
      </c>
      <c r="AF11" s="58">
        <v>170.0</v>
      </c>
      <c r="AG11" s="58">
        <v>1.0</v>
      </c>
      <c r="AH11" s="226">
        <f t="shared" si="8"/>
        <v>25.5</v>
      </c>
      <c r="AI11" s="227" t="s">
        <v>58</v>
      </c>
      <c r="AJ11" s="228">
        <v>220.0</v>
      </c>
      <c r="AK11" s="228">
        <v>1.0</v>
      </c>
      <c r="AL11" s="229">
        <f t="shared" si="9"/>
        <v>33</v>
      </c>
      <c r="AM11" s="230" t="s">
        <v>19</v>
      </c>
    </row>
    <row r="12" ht="15.75" customHeight="1">
      <c r="A12" s="236" t="s">
        <v>67</v>
      </c>
      <c r="B12" s="78">
        <v>1.0</v>
      </c>
      <c r="C12" s="79">
        <v>61.0</v>
      </c>
      <c r="D12" s="215">
        <v>5.0</v>
      </c>
      <c r="E12" s="215">
        <v>10.0</v>
      </c>
      <c r="F12" s="216">
        <f t="shared" si="1"/>
        <v>3.05</v>
      </c>
      <c r="G12" s="215" t="s">
        <v>19</v>
      </c>
      <c r="H12" s="76">
        <v>5.0</v>
      </c>
      <c r="I12" s="76">
        <v>10.0</v>
      </c>
      <c r="J12" s="76">
        <f t="shared" si="2"/>
        <v>3.05</v>
      </c>
      <c r="K12" s="76" t="s">
        <v>20</v>
      </c>
      <c r="L12" s="217">
        <v>170.0</v>
      </c>
      <c r="M12" s="217">
        <v>1.0</v>
      </c>
      <c r="N12" s="64">
        <f t="shared" si="3"/>
        <v>10.37</v>
      </c>
      <c r="O12" s="63" t="s">
        <v>19</v>
      </c>
      <c r="P12" s="218">
        <v>120.0</v>
      </c>
      <c r="Q12" s="218">
        <v>1.0</v>
      </c>
      <c r="R12" s="218">
        <f t="shared" si="4"/>
        <v>7.32</v>
      </c>
      <c r="S12" s="218" t="s">
        <v>57</v>
      </c>
      <c r="T12" s="219">
        <v>150.0</v>
      </c>
      <c r="U12" s="219">
        <v>1.0</v>
      </c>
      <c r="V12" s="220">
        <f t="shared" si="5"/>
        <v>9.15</v>
      </c>
      <c r="W12" s="221" t="s">
        <v>57</v>
      </c>
      <c r="X12" s="222">
        <v>120.0</v>
      </c>
      <c r="Y12" s="222">
        <v>1.0</v>
      </c>
      <c r="Z12" s="223">
        <f t="shared" si="6"/>
        <v>7.32</v>
      </c>
      <c r="AA12" s="224" t="s">
        <v>57</v>
      </c>
      <c r="AB12" s="225">
        <v>100.0</v>
      </c>
      <c r="AC12" s="225">
        <v>1.0</v>
      </c>
      <c r="AD12" s="225">
        <f t="shared" si="7"/>
        <v>6.1</v>
      </c>
      <c r="AE12" s="225" t="s">
        <v>19</v>
      </c>
      <c r="AF12" s="58">
        <v>200.0</v>
      </c>
      <c r="AG12" s="58">
        <v>1.0</v>
      </c>
      <c r="AH12" s="226">
        <f t="shared" si="8"/>
        <v>12.2</v>
      </c>
      <c r="AI12" s="227" t="s">
        <v>58</v>
      </c>
      <c r="AJ12" s="228">
        <v>220.0</v>
      </c>
      <c r="AK12" s="228">
        <v>1.0</v>
      </c>
      <c r="AL12" s="229">
        <f t="shared" si="9"/>
        <v>13.42</v>
      </c>
      <c r="AM12" s="230" t="s">
        <v>19</v>
      </c>
    </row>
    <row r="13" ht="15.75" customHeight="1">
      <c r="A13" s="238"/>
      <c r="B13" s="239"/>
      <c r="C13" s="239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"/>
      <c r="U13" s="1"/>
      <c r="V13" s="1"/>
      <c r="W13" s="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  <c r="AL13" s="191"/>
      <c r="AM13" s="191"/>
    </row>
    <row r="14" ht="15.75" customHeight="1">
      <c r="A14" s="240" t="s">
        <v>68</v>
      </c>
      <c r="B14" s="240"/>
      <c r="C14" s="241">
        <f>SUM(C3:C12)</f>
        <v>2225</v>
      </c>
      <c r="D14" s="242"/>
      <c r="E14" s="242"/>
      <c r="F14" s="243">
        <f>F3+F4+F5+F6+F7+F8+F9+F10+F11+F12</f>
        <v>84.3</v>
      </c>
      <c r="G14" s="242"/>
      <c r="H14" s="242"/>
      <c r="I14" s="242"/>
      <c r="J14" s="244">
        <f>SUM(J3+J4+J5+J6+J7+J8+J9+J10+J11+J12)</f>
        <v>111.25</v>
      </c>
      <c r="K14" s="242"/>
      <c r="L14" s="245"/>
      <c r="M14" s="245"/>
      <c r="N14" s="243">
        <f>SUM(N3:N12)</f>
        <v>127.14</v>
      </c>
      <c r="O14" s="245"/>
      <c r="P14" s="242"/>
      <c r="Q14" s="242"/>
      <c r="R14" s="246">
        <f>SUM(R3:R12)</f>
        <v>139.88</v>
      </c>
      <c r="S14" s="242"/>
      <c r="T14" s="242"/>
      <c r="U14" s="242"/>
      <c r="V14" s="247">
        <f>SUM(V3:V12)</f>
        <v>130.77</v>
      </c>
      <c r="W14" s="242"/>
      <c r="X14" s="245"/>
      <c r="Y14" s="245"/>
      <c r="Z14" s="243">
        <f>SUM(Z3:Z12)</f>
        <v>116.315</v>
      </c>
      <c r="AA14" s="245"/>
      <c r="AB14" s="242"/>
      <c r="AC14" s="242"/>
      <c r="AD14" s="244">
        <f>AD3+AD4+AD5+AD6+AD7+AD8+AD9+AD10+AD11+AD12</f>
        <v>222.5</v>
      </c>
      <c r="AE14" s="242"/>
      <c r="AF14" s="242"/>
      <c r="AG14" s="242"/>
      <c r="AH14" s="243">
        <f>AH3+AH4+AH5+AH6+AH7+AH8+AH9+AH10+AH11+AH12</f>
        <v>380.08</v>
      </c>
      <c r="AI14" s="242"/>
      <c r="AJ14" s="245"/>
      <c r="AK14" s="245"/>
      <c r="AL14" s="243">
        <f>AL3+AL4+AL5+AL6+AL7+AL8+AL9+AL10+AL11+AL12</f>
        <v>489.5</v>
      </c>
      <c r="AM14" s="245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F1:AI1"/>
    <mergeCell ref="AJ1:AM1"/>
    <mergeCell ref="D1:G1"/>
    <mergeCell ref="H1:K1"/>
    <mergeCell ref="L1:O1"/>
    <mergeCell ref="P1:S1"/>
    <mergeCell ref="T1:W1"/>
    <mergeCell ref="X1:AA1"/>
    <mergeCell ref="AB1:A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48" t="s">
        <v>69</v>
      </c>
      <c r="B1" s="18"/>
      <c r="C1" s="18"/>
      <c r="D1" s="18"/>
      <c r="E1" s="18"/>
      <c r="F1" s="18"/>
      <c r="G1" s="18"/>
      <c r="H1" s="18"/>
      <c r="I1" s="15"/>
    </row>
    <row r="2">
      <c r="A2" s="249" t="s">
        <v>70</v>
      </c>
    </row>
    <row r="3">
      <c r="A3" s="250"/>
      <c r="B3" s="250"/>
      <c r="C3" s="250"/>
      <c r="D3" s="250"/>
      <c r="E3" s="250"/>
      <c r="F3" s="250"/>
      <c r="G3" s="250"/>
      <c r="H3" s="250"/>
      <c r="I3" s="250"/>
    </row>
    <row r="4">
      <c r="A4" s="251" t="s">
        <v>71</v>
      </c>
      <c r="B4" s="18"/>
      <c r="C4" s="18"/>
      <c r="D4" s="18"/>
      <c r="E4" s="18"/>
      <c r="F4" s="18"/>
      <c r="G4" s="18"/>
      <c r="H4" s="18"/>
      <c r="I4" s="18"/>
    </row>
    <row r="5">
      <c r="A5" s="252" t="s">
        <v>72</v>
      </c>
      <c r="B5" s="253"/>
      <c r="C5" s="250"/>
      <c r="D5" s="250"/>
      <c r="E5" s="252" t="s">
        <v>73</v>
      </c>
      <c r="F5" s="253"/>
      <c r="G5" s="250"/>
      <c r="H5" s="252" t="s">
        <v>74</v>
      </c>
      <c r="I5" s="253"/>
    </row>
    <row r="6">
      <c r="A6" s="254" t="s">
        <v>75</v>
      </c>
      <c r="B6" s="15"/>
      <c r="C6" s="250"/>
      <c r="D6" s="250"/>
      <c r="E6" s="254" t="s">
        <v>75</v>
      </c>
      <c r="F6" s="15"/>
      <c r="G6" s="250"/>
      <c r="H6" s="254" t="s">
        <v>75</v>
      </c>
      <c r="I6" s="15"/>
    </row>
    <row r="7">
      <c r="A7" s="255">
        <v>4871.59</v>
      </c>
      <c r="B7" s="15"/>
      <c r="C7" s="250"/>
      <c r="D7" s="250"/>
      <c r="E7" s="255">
        <v>4865.75</v>
      </c>
      <c r="F7" s="15"/>
      <c r="G7" s="250"/>
      <c r="H7" s="255">
        <v>942.92</v>
      </c>
      <c r="I7" s="15"/>
    </row>
    <row r="8">
      <c r="A8" s="255">
        <v>189.6</v>
      </c>
      <c r="B8" s="15"/>
      <c r="C8" s="250"/>
      <c r="D8" s="250"/>
      <c r="E8" s="255">
        <v>189.6</v>
      </c>
      <c r="F8" s="15"/>
      <c r="G8" s="250"/>
      <c r="H8" s="255">
        <v>189.6</v>
      </c>
      <c r="I8" s="15"/>
    </row>
    <row r="9">
      <c r="A9" s="256">
        <v>5061.19</v>
      </c>
      <c r="B9" s="15"/>
      <c r="C9" s="250"/>
      <c r="D9" s="250"/>
      <c r="E9" s="256">
        <v>5055.35</v>
      </c>
      <c r="F9" s="15"/>
      <c r="G9" s="250"/>
      <c r="H9" s="256">
        <v>1132.52</v>
      </c>
      <c r="I9" s="15"/>
    </row>
    <row r="10">
      <c r="A10" s="257"/>
      <c r="B10" s="257"/>
      <c r="C10" s="258"/>
      <c r="D10" s="258"/>
      <c r="E10" s="259"/>
      <c r="F10" s="260"/>
      <c r="G10" s="258"/>
      <c r="H10" s="259"/>
      <c r="I10" s="260"/>
    </row>
    <row r="11">
      <c r="A11" s="261" t="s">
        <v>76</v>
      </c>
      <c r="B11" s="262"/>
      <c r="C11" s="250"/>
      <c r="D11" s="250"/>
      <c r="E11" s="261" t="s">
        <v>77</v>
      </c>
      <c r="F11" s="262"/>
      <c r="G11" s="250"/>
      <c r="H11" s="257"/>
      <c r="I11" s="257"/>
    </row>
    <row r="12">
      <c r="A12" s="254" t="s">
        <v>75</v>
      </c>
      <c r="B12" s="15"/>
      <c r="C12" s="250"/>
      <c r="D12" s="250"/>
      <c r="E12" s="254" t="s">
        <v>75</v>
      </c>
      <c r="F12" s="15"/>
      <c r="G12" s="250"/>
      <c r="H12" s="250"/>
      <c r="I12" s="250"/>
    </row>
    <row r="13">
      <c r="A13" s="255">
        <v>4577.45</v>
      </c>
      <c r="B13" s="15"/>
      <c r="C13" s="250"/>
      <c r="D13" s="250"/>
      <c r="E13" s="255">
        <v>4842.72</v>
      </c>
      <c r="F13" s="15"/>
      <c r="G13" s="250"/>
      <c r="H13" s="250"/>
      <c r="I13" s="250"/>
    </row>
    <row r="14">
      <c r="A14" s="255">
        <v>369.17</v>
      </c>
      <c r="B14" s="15"/>
      <c r="C14" s="250"/>
      <c r="D14" s="250"/>
      <c r="E14" s="255">
        <v>373.1</v>
      </c>
      <c r="F14" s="15"/>
      <c r="G14" s="250"/>
      <c r="H14" s="250"/>
      <c r="I14" s="250"/>
    </row>
    <row r="15">
      <c r="A15" s="256">
        <v>4946.62</v>
      </c>
      <c r="B15" s="15"/>
      <c r="C15" s="250"/>
      <c r="D15" s="250"/>
      <c r="E15" s="256">
        <v>5215.82</v>
      </c>
      <c r="F15" s="15"/>
      <c r="G15" s="250"/>
      <c r="H15" s="250"/>
      <c r="I15" s="250"/>
    </row>
    <row r="16">
      <c r="A16" s="250"/>
      <c r="B16" s="250"/>
      <c r="C16" s="250"/>
      <c r="D16" s="250"/>
      <c r="E16" s="250"/>
      <c r="F16" s="250"/>
      <c r="G16" s="250"/>
      <c r="H16" s="250"/>
      <c r="I16" s="250"/>
    </row>
    <row r="17">
      <c r="A17" s="250"/>
      <c r="B17" s="250"/>
      <c r="C17" s="250"/>
      <c r="D17" s="250"/>
      <c r="E17" s="250"/>
      <c r="F17" s="250"/>
      <c r="G17" s="250"/>
      <c r="H17" s="250"/>
      <c r="I17" s="250"/>
    </row>
    <row r="18">
      <c r="A18" s="251" t="s">
        <v>78</v>
      </c>
      <c r="B18" s="18"/>
      <c r="C18" s="18"/>
      <c r="D18" s="18"/>
      <c r="E18" s="18"/>
      <c r="F18" s="18"/>
      <c r="G18" s="18"/>
      <c r="H18" s="18"/>
      <c r="I18" s="18"/>
    </row>
    <row r="19">
      <c r="A19" s="252" t="s">
        <v>79</v>
      </c>
      <c r="B19" s="253"/>
      <c r="C19" s="250"/>
      <c r="D19" s="250"/>
      <c r="E19" s="252" t="s">
        <v>80</v>
      </c>
      <c r="F19" s="253"/>
      <c r="G19" s="250"/>
      <c r="H19" s="252" t="s">
        <v>81</v>
      </c>
      <c r="I19" s="253"/>
    </row>
    <row r="20">
      <c r="A20" s="254" t="s">
        <v>82</v>
      </c>
      <c r="B20" s="15"/>
      <c r="C20" s="250"/>
      <c r="D20" s="250"/>
      <c r="E20" s="254" t="s">
        <v>75</v>
      </c>
      <c r="F20" s="15"/>
      <c r="G20" s="250"/>
      <c r="H20" s="254" t="s">
        <v>82</v>
      </c>
      <c r="I20" s="15"/>
    </row>
    <row r="21">
      <c r="A21" s="255">
        <v>3125.8</v>
      </c>
      <c r="B21" s="15"/>
      <c r="C21" s="250"/>
      <c r="D21" s="250"/>
      <c r="E21" s="255">
        <v>28022.44</v>
      </c>
      <c r="F21" s="15"/>
      <c r="G21" s="250"/>
      <c r="H21" s="255">
        <v>9107.2</v>
      </c>
      <c r="I21" s="15"/>
    </row>
    <row r="22">
      <c r="A22" s="255">
        <v>0.0</v>
      </c>
      <c r="B22" s="15"/>
      <c r="C22" s="250"/>
      <c r="D22" s="250"/>
      <c r="E22" s="255">
        <v>1218.0</v>
      </c>
      <c r="F22" s="15"/>
      <c r="G22" s="250"/>
      <c r="H22" s="255">
        <v>548.7</v>
      </c>
      <c r="I22" s="15"/>
    </row>
    <row r="23">
      <c r="A23" s="256">
        <v>3125.8</v>
      </c>
      <c r="B23" s="15"/>
      <c r="C23" s="250"/>
      <c r="D23" s="250"/>
      <c r="E23" s="256">
        <v>29240.44</v>
      </c>
      <c r="F23" s="15"/>
      <c r="G23" s="250"/>
      <c r="H23" s="256">
        <v>9655.9</v>
      </c>
      <c r="I23" s="15"/>
    </row>
    <row r="24">
      <c r="A24" s="257"/>
      <c r="B24" s="257"/>
      <c r="C24" s="258"/>
      <c r="D24" s="258"/>
      <c r="E24" s="259"/>
      <c r="F24" s="260"/>
      <c r="G24" s="258"/>
      <c r="H24" s="259"/>
      <c r="I24" s="260"/>
    </row>
    <row r="25">
      <c r="A25" s="261" t="s">
        <v>83</v>
      </c>
      <c r="B25" s="262"/>
      <c r="C25" s="250"/>
      <c r="D25" s="250"/>
      <c r="E25" s="261" t="s">
        <v>84</v>
      </c>
      <c r="F25" s="262"/>
      <c r="G25" s="250"/>
      <c r="H25" s="261" t="s">
        <v>85</v>
      </c>
      <c r="I25" s="262"/>
    </row>
    <row r="26">
      <c r="A26" s="254" t="s">
        <v>82</v>
      </c>
      <c r="B26" s="15"/>
      <c r="C26" s="250"/>
      <c r="D26" s="250"/>
      <c r="E26" s="254" t="s">
        <v>75</v>
      </c>
      <c r="F26" s="15"/>
      <c r="G26" s="250"/>
      <c r="H26" s="254" t="s">
        <v>86</v>
      </c>
      <c r="I26" s="15"/>
    </row>
    <row r="27">
      <c r="A27" s="255">
        <v>2491.52</v>
      </c>
      <c r="B27" s="15"/>
      <c r="C27" s="250"/>
      <c r="D27" s="250"/>
      <c r="E27" s="255">
        <v>15468.2</v>
      </c>
      <c r="F27" s="15"/>
      <c r="G27" s="250"/>
      <c r="H27" s="255">
        <v>0.0</v>
      </c>
      <c r="I27" s="15"/>
    </row>
    <row r="28">
      <c r="A28" s="255">
        <v>0.0</v>
      </c>
      <c r="B28" s="15"/>
      <c r="C28" s="250"/>
      <c r="D28" s="250"/>
      <c r="E28" s="255">
        <v>395.37</v>
      </c>
      <c r="F28" s="15"/>
      <c r="G28" s="250"/>
      <c r="H28" s="255">
        <v>548.7</v>
      </c>
      <c r="I28" s="15"/>
    </row>
    <row r="29">
      <c r="A29" s="256">
        <v>2491.52</v>
      </c>
      <c r="B29" s="15"/>
      <c r="C29" s="250"/>
      <c r="D29" s="250"/>
      <c r="E29" s="256">
        <v>15863.57</v>
      </c>
      <c r="F29" s="15"/>
      <c r="G29" s="250"/>
      <c r="H29" s="256">
        <v>548.7</v>
      </c>
      <c r="I29" s="15"/>
    </row>
    <row r="30">
      <c r="A30" s="250"/>
      <c r="B30" s="250"/>
      <c r="C30" s="250"/>
      <c r="D30" s="250"/>
      <c r="E30" s="250"/>
      <c r="F30" s="250"/>
      <c r="G30" s="250"/>
      <c r="H30" s="250"/>
      <c r="I30" s="250"/>
    </row>
    <row r="31">
      <c r="A31" s="261" t="s">
        <v>87</v>
      </c>
      <c r="B31" s="262"/>
      <c r="C31" s="250"/>
      <c r="D31" s="250"/>
      <c r="E31" s="261" t="s">
        <v>88</v>
      </c>
      <c r="F31" s="262"/>
      <c r="G31" s="250"/>
      <c r="H31" s="261" t="s">
        <v>89</v>
      </c>
      <c r="I31" s="262"/>
    </row>
    <row r="32">
      <c r="A32" s="254" t="s">
        <v>75</v>
      </c>
      <c r="B32" s="15"/>
      <c r="C32" s="250"/>
      <c r="D32" s="250"/>
      <c r="E32" s="254" t="s">
        <v>75</v>
      </c>
      <c r="F32" s="15"/>
      <c r="G32" s="250"/>
      <c r="H32" s="254" t="s">
        <v>82</v>
      </c>
      <c r="I32" s="15"/>
    </row>
    <row r="33">
      <c r="A33" s="255">
        <v>3561.15</v>
      </c>
      <c r="B33" s="15"/>
      <c r="C33" s="250"/>
      <c r="D33" s="250"/>
      <c r="E33" s="255">
        <v>1830.98</v>
      </c>
      <c r="F33" s="15"/>
      <c r="G33" s="250"/>
      <c r="H33" s="255">
        <v>0.0</v>
      </c>
      <c r="I33" s="15"/>
    </row>
    <row r="34">
      <c r="A34" s="255">
        <v>0.0</v>
      </c>
      <c r="B34" s="15"/>
      <c r="C34" s="250"/>
      <c r="D34" s="250"/>
      <c r="E34" s="255">
        <v>343.22</v>
      </c>
      <c r="F34" s="15"/>
      <c r="G34" s="250"/>
      <c r="H34" s="255">
        <v>577.3</v>
      </c>
      <c r="I34" s="15"/>
    </row>
    <row r="35">
      <c r="A35" s="256">
        <v>3561.15</v>
      </c>
      <c r="B35" s="15"/>
      <c r="C35" s="250"/>
      <c r="D35" s="250"/>
      <c r="E35" s="256">
        <v>2174.2</v>
      </c>
      <c r="F35" s="15"/>
      <c r="G35" s="250"/>
      <c r="H35" s="256">
        <v>577.3</v>
      </c>
      <c r="I35" s="15"/>
    </row>
    <row r="36">
      <c r="A36" s="250"/>
      <c r="B36" s="250"/>
      <c r="C36" s="250"/>
      <c r="D36" s="250"/>
      <c r="E36" s="250"/>
      <c r="F36" s="250"/>
      <c r="G36" s="250"/>
      <c r="H36" s="250"/>
      <c r="I36" s="250"/>
    </row>
    <row r="37">
      <c r="A37" s="250"/>
      <c r="B37" s="250"/>
      <c r="C37" s="250"/>
      <c r="D37" s="250"/>
      <c r="E37" s="250"/>
      <c r="F37" s="250"/>
      <c r="G37" s="250"/>
      <c r="H37" s="250"/>
      <c r="I37" s="250"/>
    </row>
    <row r="38">
      <c r="A38" s="251" t="s">
        <v>90</v>
      </c>
      <c r="B38" s="18"/>
      <c r="C38" s="18"/>
      <c r="D38" s="18"/>
      <c r="E38" s="18"/>
      <c r="F38" s="18"/>
      <c r="G38" s="18"/>
      <c r="H38" s="18"/>
      <c r="I38" s="18"/>
    </row>
    <row r="39">
      <c r="A39" s="252" t="s">
        <v>91</v>
      </c>
      <c r="B39" s="253"/>
      <c r="C39" s="250"/>
      <c r="D39" s="250"/>
      <c r="E39" s="259"/>
      <c r="G39" s="258"/>
      <c r="H39" s="259"/>
    </row>
    <row r="40">
      <c r="A40" s="254" t="s">
        <v>75</v>
      </c>
      <c r="B40" s="15"/>
      <c r="C40" s="250"/>
      <c r="D40" s="250"/>
      <c r="E40" s="263"/>
      <c r="G40" s="258"/>
      <c r="H40" s="263"/>
    </row>
    <row r="41">
      <c r="A41" s="255">
        <v>2355.68</v>
      </c>
      <c r="B41" s="15"/>
      <c r="C41" s="250"/>
      <c r="D41" s="250"/>
      <c r="E41" s="264"/>
      <c r="G41" s="258"/>
      <c r="H41" s="264"/>
    </row>
    <row r="42">
      <c r="A42" s="255">
        <v>0.0</v>
      </c>
      <c r="B42" s="15"/>
      <c r="C42" s="250"/>
      <c r="D42" s="250"/>
      <c r="E42" s="264"/>
      <c r="G42" s="258"/>
      <c r="H42" s="264"/>
    </row>
    <row r="43">
      <c r="A43" s="256">
        <v>2355.68</v>
      </c>
      <c r="B43" s="15"/>
      <c r="C43" s="250"/>
      <c r="D43" s="250"/>
      <c r="E43" s="259"/>
      <c r="G43" s="258"/>
      <c r="H43" s="259"/>
    </row>
    <row r="44">
      <c r="A44" s="250"/>
      <c r="B44" s="250"/>
      <c r="C44" s="250"/>
      <c r="D44" s="250"/>
      <c r="E44" s="250"/>
      <c r="F44" s="250"/>
      <c r="G44" s="250"/>
      <c r="H44" s="250"/>
      <c r="I44" s="250"/>
    </row>
    <row r="45">
      <c r="A45" s="250"/>
      <c r="B45" s="250"/>
      <c r="C45" s="250"/>
      <c r="D45" s="250"/>
      <c r="E45" s="250"/>
      <c r="F45" s="250"/>
      <c r="G45" s="250"/>
      <c r="H45" s="250"/>
      <c r="I45" s="250"/>
    </row>
    <row r="46">
      <c r="A46" s="250"/>
      <c r="B46" s="250"/>
      <c r="C46" s="250"/>
      <c r="D46" s="250"/>
      <c r="E46" s="250"/>
      <c r="F46" s="250"/>
      <c r="G46" s="250"/>
      <c r="H46" s="250"/>
      <c r="I46" s="250"/>
    </row>
    <row r="47">
      <c r="A47" s="250"/>
      <c r="B47" s="250"/>
      <c r="C47" s="250"/>
      <c r="D47" s="250"/>
      <c r="E47" s="250"/>
      <c r="F47" s="250"/>
      <c r="G47" s="250"/>
      <c r="H47" s="250"/>
      <c r="I47" s="250"/>
    </row>
    <row r="48">
      <c r="A48" s="250"/>
      <c r="B48" s="250"/>
      <c r="C48" s="250"/>
      <c r="D48" s="250"/>
      <c r="E48" s="250"/>
      <c r="F48" s="250"/>
      <c r="G48" s="250"/>
      <c r="H48" s="250"/>
      <c r="I48" s="250"/>
    </row>
    <row r="49">
      <c r="A49" s="250"/>
      <c r="B49" s="250"/>
      <c r="C49" s="250"/>
      <c r="D49" s="250"/>
      <c r="E49" s="250"/>
      <c r="F49" s="250"/>
      <c r="G49" s="250"/>
      <c r="H49" s="250"/>
      <c r="I49" s="250"/>
    </row>
    <row r="50">
      <c r="A50" s="250"/>
      <c r="B50" s="250"/>
      <c r="C50" s="250"/>
      <c r="D50" s="250"/>
      <c r="E50" s="250"/>
      <c r="F50" s="250"/>
      <c r="G50" s="250"/>
      <c r="H50" s="250"/>
      <c r="I50" s="250"/>
    </row>
    <row r="51">
      <c r="A51" s="250"/>
      <c r="B51" s="250"/>
      <c r="C51" s="250"/>
      <c r="D51" s="250"/>
      <c r="E51" s="250"/>
      <c r="F51" s="250"/>
      <c r="G51" s="250"/>
      <c r="H51" s="250"/>
      <c r="I51" s="250"/>
    </row>
    <row r="52">
      <c r="A52" s="250"/>
      <c r="B52" s="250"/>
      <c r="C52" s="250"/>
      <c r="D52" s="250"/>
      <c r="E52" s="250"/>
      <c r="F52" s="250"/>
      <c r="G52" s="250"/>
      <c r="H52" s="250"/>
      <c r="I52" s="250"/>
    </row>
    <row r="53">
      <c r="A53" s="250"/>
      <c r="B53" s="250"/>
      <c r="C53" s="250"/>
      <c r="D53" s="250"/>
      <c r="E53" s="250"/>
      <c r="F53" s="250"/>
      <c r="G53" s="250"/>
      <c r="H53" s="250"/>
      <c r="I53" s="250"/>
    </row>
    <row r="54">
      <c r="A54" s="250"/>
      <c r="B54" s="250"/>
      <c r="C54" s="250"/>
      <c r="D54" s="250"/>
      <c r="E54" s="250"/>
      <c r="F54" s="250"/>
      <c r="G54" s="250"/>
      <c r="H54" s="250"/>
      <c r="I54" s="250"/>
    </row>
    <row r="55">
      <c r="A55" s="250"/>
      <c r="B55" s="250"/>
      <c r="C55" s="250"/>
      <c r="D55" s="250"/>
      <c r="E55" s="250"/>
      <c r="F55" s="250"/>
      <c r="G55" s="250"/>
      <c r="H55" s="250"/>
      <c r="I55" s="250"/>
    </row>
    <row r="56">
      <c r="A56" s="250"/>
      <c r="B56" s="250"/>
      <c r="C56" s="250"/>
      <c r="D56" s="250"/>
      <c r="E56" s="250"/>
      <c r="F56" s="250"/>
      <c r="G56" s="250"/>
      <c r="H56" s="250"/>
      <c r="I56" s="250"/>
    </row>
    <row r="57">
      <c r="A57" s="250"/>
      <c r="B57" s="250"/>
      <c r="C57" s="250"/>
      <c r="D57" s="250"/>
      <c r="E57" s="250"/>
      <c r="F57" s="250"/>
      <c r="G57" s="250"/>
      <c r="H57" s="250"/>
      <c r="I57" s="250"/>
    </row>
    <row r="58">
      <c r="A58" s="250"/>
      <c r="B58" s="250"/>
      <c r="C58" s="250"/>
      <c r="D58" s="250"/>
      <c r="E58" s="250"/>
      <c r="F58" s="250"/>
      <c r="G58" s="250"/>
      <c r="H58" s="250"/>
      <c r="I58" s="250"/>
    </row>
    <row r="59">
      <c r="A59" s="250"/>
      <c r="B59" s="250"/>
      <c r="C59" s="250"/>
      <c r="D59" s="250"/>
      <c r="E59" s="250"/>
      <c r="F59" s="250"/>
      <c r="G59" s="250"/>
      <c r="H59" s="250"/>
      <c r="I59" s="250"/>
    </row>
    <row r="60">
      <c r="A60" s="250"/>
      <c r="B60" s="250"/>
      <c r="C60" s="250"/>
      <c r="D60" s="250"/>
      <c r="E60" s="250"/>
      <c r="F60" s="250"/>
      <c r="G60" s="250"/>
      <c r="H60" s="250"/>
      <c r="I60" s="250"/>
    </row>
    <row r="61">
      <c r="A61" s="250"/>
      <c r="B61" s="250"/>
      <c r="C61" s="250"/>
      <c r="D61" s="250"/>
      <c r="E61" s="250"/>
      <c r="F61" s="250"/>
      <c r="G61" s="250"/>
      <c r="H61" s="250"/>
      <c r="I61" s="250"/>
    </row>
    <row r="62">
      <c r="A62" s="250"/>
      <c r="B62" s="250"/>
      <c r="C62" s="250"/>
      <c r="D62" s="250"/>
      <c r="E62" s="250"/>
      <c r="F62" s="250"/>
      <c r="G62" s="250"/>
      <c r="H62" s="250"/>
      <c r="I62" s="250"/>
    </row>
    <row r="63">
      <c r="A63" s="250"/>
      <c r="B63" s="250"/>
      <c r="C63" s="250"/>
      <c r="D63" s="250"/>
      <c r="E63" s="250"/>
      <c r="F63" s="250"/>
      <c r="G63" s="250"/>
      <c r="H63" s="250"/>
      <c r="I63" s="250"/>
    </row>
    <row r="64">
      <c r="A64" s="250"/>
      <c r="B64" s="250"/>
      <c r="C64" s="250"/>
      <c r="D64" s="250"/>
      <c r="E64" s="250"/>
      <c r="F64" s="250"/>
      <c r="G64" s="250"/>
      <c r="H64" s="250"/>
      <c r="I64" s="250"/>
    </row>
    <row r="65">
      <c r="A65" s="250"/>
      <c r="B65" s="250"/>
      <c r="C65" s="250"/>
      <c r="D65" s="250"/>
      <c r="E65" s="250"/>
      <c r="F65" s="250"/>
      <c r="G65" s="250"/>
      <c r="H65" s="250"/>
      <c r="I65" s="250"/>
    </row>
    <row r="66">
      <c r="A66" s="250"/>
      <c r="B66" s="250"/>
      <c r="C66" s="250"/>
      <c r="D66" s="250"/>
      <c r="E66" s="250"/>
      <c r="F66" s="250"/>
      <c r="G66" s="250"/>
      <c r="H66" s="250"/>
      <c r="I66" s="250"/>
    </row>
    <row r="67">
      <c r="A67" s="250"/>
      <c r="B67" s="250"/>
      <c r="C67" s="250"/>
      <c r="D67" s="250"/>
      <c r="E67" s="250"/>
      <c r="F67" s="250"/>
      <c r="G67" s="250"/>
      <c r="H67" s="250"/>
      <c r="I67" s="250"/>
    </row>
    <row r="68">
      <c r="A68" s="250"/>
      <c r="B68" s="250"/>
      <c r="C68" s="250"/>
      <c r="D68" s="250"/>
      <c r="E68" s="250"/>
      <c r="F68" s="250"/>
      <c r="G68" s="250"/>
      <c r="H68" s="250"/>
      <c r="I68" s="250"/>
    </row>
    <row r="69">
      <c r="A69" s="250"/>
      <c r="B69" s="250"/>
      <c r="C69" s="250"/>
      <c r="D69" s="250"/>
      <c r="E69" s="250"/>
      <c r="F69" s="250"/>
      <c r="G69" s="250"/>
      <c r="H69" s="250"/>
      <c r="I69" s="250"/>
    </row>
    <row r="70">
      <c r="A70" s="250"/>
      <c r="B70" s="250"/>
      <c r="C70" s="250"/>
      <c r="D70" s="250"/>
      <c r="E70" s="250"/>
      <c r="F70" s="250"/>
      <c r="G70" s="250"/>
      <c r="H70" s="250"/>
      <c r="I70" s="250"/>
    </row>
    <row r="71">
      <c r="A71" s="250"/>
      <c r="B71" s="250"/>
      <c r="C71" s="250"/>
      <c r="D71" s="250"/>
      <c r="E71" s="250"/>
      <c r="F71" s="250"/>
      <c r="G71" s="250"/>
      <c r="H71" s="250"/>
      <c r="I71" s="250"/>
    </row>
    <row r="72">
      <c r="A72" s="250"/>
      <c r="B72" s="250"/>
      <c r="C72" s="250"/>
      <c r="D72" s="250"/>
      <c r="E72" s="250"/>
      <c r="F72" s="250"/>
      <c r="G72" s="250"/>
      <c r="H72" s="250"/>
      <c r="I72" s="250"/>
    </row>
    <row r="73">
      <c r="A73" s="250"/>
      <c r="B73" s="250"/>
      <c r="C73" s="250"/>
      <c r="D73" s="250"/>
      <c r="E73" s="250"/>
      <c r="F73" s="250"/>
      <c r="G73" s="250"/>
      <c r="H73" s="250"/>
      <c r="I73" s="250"/>
    </row>
    <row r="74">
      <c r="A74" s="250"/>
      <c r="B74" s="250"/>
      <c r="C74" s="250"/>
      <c r="D74" s="250"/>
      <c r="E74" s="250"/>
      <c r="F74" s="250"/>
      <c r="G74" s="250"/>
      <c r="H74" s="250"/>
      <c r="I74" s="250"/>
    </row>
    <row r="75">
      <c r="A75" s="250"/>
      <c r="B75" s="250"/>
      <c r="C75" s="250"/>
      <c r="D75" s="250"/>
      <c r="E75" s="250"/>
      <c r="F75" s="250"/>
      <c r="G75" s="250"/>
      <c r="H75" s="250"/>
      <c r="I75" s="250"/>
    </row>
    <row r="76">
      <c r="A76" s="250"/>
      <c r="B76" s="250"/>
      <c r="C76" s="250"/>
      <c r="D76" s="250"/>
      <c r="E76" s="250"/>
      <c r="F76" s="250"/>
      <c r="G76" s="250"/>
      <c r="H76" s="250"/>
      <c r="I76" s="250"/>
    </row>
    <row r="77">
      <c r="A77" s="250"/>
      <c r="B77" s="250"/>
      <c r="C77" s="250"/>
      <c r="D77" s="250"/>
      <c r="E77" s="250"/>
      <c r="F77" s="250"/>
      <c r="G77" s="250"/>
      <c r="H77" s="250"/>
      <c r="I77" s="250"/>
    </row>
    <row r="78">
      <c r="A78" s="250"/>
      <c r="B78" s="250"/>
      <c r="C78" s="250"/>
      <c r="D78" s="250"/>
      <c r="E78" s="250"/>
      <c r="F78" s="250"/>
      <c r="G78" s="250"/>
      <c r="H78" s="250"/>
      <c r="I78" s="250"/>
    </row>
    <row r="79">
      <c r="A79" s="250"/>
      <c r="B79" s="250"/>
      <c r="C79" s="250"/>
      <c r="D79" s="250"/>
      <c r="E79" s="250"/>
      <c r="F79" s="250"/>
      <c r="G79" s="250"/>
      <c r="H79" s="250"/>
      <c r="I79" s="250"/>
    </row>
    <row r="80">
      <c r="A80" s="250"/>
      <c r="B80" s="250"/>
      <c r="C80" s="250"/>
      <c r="D80" s="250"/>
      <c r="E80" s="250"/>
      <c r="F80" s="250"/>
      <c r="G80" s="250"/>
      <c r="H80" s="250"/>
      <c r="I80" s="250"/>
    </row>
    <row r="81">
      <c r="A81" s="250"/>
      <c r="B81" s="250"/>
      <c r="C81" s="250"/>
      <c r="D81" s="250"/>
      <c r="E81" s="250"/>
      <c r="F81" s="250"/>
      <c r="G81" s="250"/>
      <c r="H81" s="250"/>
      <c r="I81" s="250"/>
    </row>
    <row r="82">
      <c r="A82" s="250"/>
      <c r="B82" s="250"/>
      <c r="C82" s="250"/>
      <c r="D82" s="250"/>
      <c r="E82" s="250"/>
      <c r="F82" s="250"/>
      <c r="G82" s="250"/>
      <c r="H82" s="250"/>
      <c r="I82" s="250"/>
    </row>
    <row r="83">
      <c r="A83" s="250"/>
      <c r="B83" s="250"/>
      <c r="C83" s="250"/>
      <c r="D83" s="250"/>
      <c r="E83" s="250"/>
      <c r="F83" s="250"/>
      <c r="G83" s="250"/>
      <c r="H83" s="250"/>
      <c r="I83" s="250"/>
    </row>
    <row r="84">
      <c r="A84" s="250"/>
      <c r="B84" s="250"/>
      <c r="C84" s="250"/>
      <c r="D84" s="250"/>
      <c r="E84" s="250"/>
      <c r="F84" s="250"/>
      <c r="G84" s="250"/>
      <c r="H84" s="250"/>
      <c r="I84" s="250"/>
    </row>
    <row r="85">
      <c r="A85" s="250"/>
      <c r="B85" s="250"/>
      <c r="C85" s="250"/>
      <c r="D85" s="250"/>
      <c r="E85" s="250"/>
      <c r="F85" s="250"/>
      <c r="G85" s="250"/>
      <c r="H85" s="250"/>
      <c r="I85" s="250"/>
    </row>
    <row r="86">
      <c r="A86" s="250"/>
      <c r="B86" s="250"/>
      <c r="C86" s="250"/>
      <c r="D86" s="250"/>
      <c r="E86" s="250"/>
      <c r="F86" s="250"/>
      <c r="G86" s="250"/>
      <c r="H86" s="250"/>
      <c r="I86" s="250"/>
    </row>
    <row r="87">
      <c r="A87" s="250"/>
      <c r="B87" s="250"/>
      <c r="C87" s="250"/>
      <c r="D87" s="250"/>
      <c r="E87" s="250"/>
      <c r="F87" s="250"/>
      <c r="G87" s="250"/>
      <c r="H87" s="250"/>
      <c r="I87" s="250"/>
    </row>
    <row r="88">
      <c r="A88" s="250"/>
      <c r="B88" s="250"/>
      <c r="C88" s="250"/>
      <c r="D88" s="250"/>
      <c r="E88" s="250"/>
      <c r="F88" s="250"/>
      <c r="G88" s="250"/>
      <c r="H88" s="250"/>
      <c r="I88" s="250"/>
    </row>
    <row r="89">
      <c r="A89" s="250"/>
      <c r="B89" s="250"/>
      <c r="C89" s="250"/>
      <c r="D89" s="250"/>
      <c r="E89" s="250"/>
      <c r="F89" s="250"/>
      <c r="G89" s="250"/>
      <c r="H89" s="250"/>
      <c r="I89" s="250"/>
    </row>
    <row r="90">
      <c r="A90" s="250"/>
      <c r="B90" s="250"/>
      <c r="C90" s="250"/>
      <c r="D90" s="250"/>
      <c r="E90" s="250"/>
      <c r="F90" s="250"/>
      <c r="G90" s="250"/>
      <c r="H90" s="250"/>
      <c r="I90" s="250"/>
    </row>
    <row r="91">
      <c r="A91" s="250"/>
      <c r="B91" s="250"/>
      <c r="C91" s="250"/>
      <c r="D91" s="250"/>
      <c r="E91" s="250"/>
      <c r="F91" s="250"/>
      <c r="G91" s="250"/>
      <c r="H91" s="250"/>
      <c r="I91" s="250"/>
    </row>
    <row r="92">
      <c r="A92" s="250"/>
      <c r="B92" s="250"/>
      <c r="C92" s="250"/>
      <c r="D92" s="250"/>
      <c r="E92" s="250"/>
      <c r="F92" s="250"/>
      <c r="G92" s="250"/>
      <c r="H92" s="250"/>
      <c r="I92" s="250"/>
    </row>
    <row r="93">
      <c r="A93" s="250"/>
      <c r="B93" s="250"/>
      <c r="C93" s="250"/>
      <c r="D93" s="250"/>
      <c r="E93" s="250"/>
      <c r="F93" s="250"/>
      <c r="G93" s="250"/>
      <c r="H93" s="250"/>
      <c r="I93" s="250"/>
    </row>
    <row r="94">
      <c r="A94" s="250"/>
      <c r="B94" s="250"/>
      <c r="C94" s="250"/>
      <c r="D94" s="250"/>
      <c r="E94" s="250"/>
      <c r="F94" s="250"/>
      <c r="G94" s="250"/>
      <c r="H94" s="250"/>
      <c r="I94" s="250"/>
    </row>
    <row r="95">
      <c r="A95" s="250"/>
      <c r="B95" s="250"/>
      <c r="C95" s="250"/>
      <c r="D95" s="250"/>
      <c r="E95" s="250"/>
      <c r="F95" s="250"/>
      <c r="G95" s="250"/>
      <c r="H95" s="250"/>
      <c r="I95" s="250"/>
    </row>
    <row r="96">
      <c r="A96" s="250"/>
      <c r="B96" s="250"/>
      <c r="C96" s="250"/>
      <c r="D96" s="250"/>
      <c r="E96" s="250"/>
      <c r="F96" s="250"/>
      <c r="G96" s="250"/>
      <c r="H96" s="250"/>
      <c r="I96" s="250"/>
    </row>
    <row r="97">
      <c r="A97" s="250"/>
      <c r="B97" s="250"/>
      <c r="C97" s="250"/>
      <c r="D97" s="250"/>
      <c r="E97" s="250"/>
      <c r="F97" s="250"/>
      <c r="G97" s="250"/>
      <c r="H97" s="250"/>
      <c r="I97" s="250"/>
    </row>
    <row r="98">
      <c r="A98" s="250"/>
      <c r="B98" s="250"/>
      <c r="C98" s="250"/>
      <c r="D98" s="250"/>
      <c r="E98" s="250"/>
      <c r="F98" s="250"/>
      <c r="G98" s="250"/>
      <c r="H98" s="250"/>
      <c r="I98" s="250"/>
    </row>
    <row r="99">
      <c r="A99" s="250"/>
      <c r="B99" s="250"/>
      <c r="C99" s="250"/>
      <c r="D99" s="250"/>
      <c r="E99" s="250"/>
      <c r="F99" s="250"/>
      <c r="G99" s="250"/>
      <c r="H99" s="250"/>
      <c r="I99" s="250"/>
    </row>
    <row r="100">
      <c r="A100" s="250"/>
      <c r="B100" s="250"/>
      <c r="C100" s="250"/>
      <c r="D100" s="250"/>
      <c r="E100" s="250"/>
      <c r="F100" s="250"/>
      <c r="G100" s="250"/>
      <c r="H100" s="250"/>
      <c r="I100" s="250"/>
    </row>
    <row r="101">
      <c r="A101" s="250"/>
      <c r="B101" s="250"/>
      <c r="C101" s="250"/>
      <c r="D101" s="250"/>
      <c r="E101" s="250"/>
      <c r="F101" s="250"/>
      <c r="G101" s="250"/>
      <c r="H101" s="250"/>
      <c r="I101" s="250"/>
    </row>
    <row r="102">
      <c r="A102" s="250"/>
      <c r="B102" s="250"/>
      <c r="C102" s="250"/>
      <c r="D102" s="250"/>
      <c r="E102" s="250"/>
      <c r="F102" s="250"/>
      <c r="G102" s="250"/>
      <c r="H102" s="250"/>
      <c r="I102" s="250"/>
    </row>
    <row r="103">
      <c r="A103" s="250"/>
      <c r="B103" s="250"/>
      <c r="C103" s="250"/>
      <c r="D103" s="250"/>
      <c r="E103" s="250"/>
      <c r="F103" s="250"/>
      <c r="G103" s="250"/>
      <c r="H103" s="250"/>
      <c r="I103" s="250"/>
    </row>
    <row r="104">
      <c r="A104" s="250"/>
      <c r="B104" s="250"/>
      <c r="C104" s="250"/>
      <c r="D104" s="250"/>
      <c r="E104" s="250"/>
      <c r="F104" s="250"/>
      <c r="G104" s="250"/>
      <c r="H104" s="250"/>
      <c r="I104" s="250"/>
    </row>
    <row r="105">
      <c r="A105" s="250"/>
      <c r="B105" s="250"/>
      <c r="C105" s="250"/>
      <c r="D105" s="250"/>
      <c r="E105" s="250"/>
      <c r="F105" s="250"/>
      <c r="G105" s="250"/>
      <c r="H105" s="250"/>
      <c r="I105" s="250"/>
    </row>
    <row r="106">
      <c r="A106" s="250"/>
      <c r="B106" s="250"/>
      <c r="C106" s="250"/>
      <c r="D106" s="250"/>
      <c r="E106" s="250"/>
      <c r="F106" s="250"/>
      <c r="G106" s="250"/>
      <c r="H106" s="250"/>
      <c r="I106" s="250"/>
    </row>
    <row r="107">
      <c r="A107" s="250"/>
      <c r="B107" s="250"/>
      <c r="C107" s="250"/>
      <c r="D107" s="250"/>
      <c r="E107" s="250"/>
      <c r="F107" s="250"/>
      <c r="G107" s="250"/>
      <c r="H107" s="250"/>
      <c r="I107" s="250"/>
    </row>
    <row r="108">
      <c r="A108" s="250"/>
      <c r="B108" s="250"/>
      <c r="C108" s="250"/>
      <c r="D108" s="250"/>
      <c r="E108" s="250"/>
      <c r="F108" s="250"/>
      <c r="G108" s="250"/>
      <c r="H108" s="250"/>
      <c r="I108" s="250"/>
    </row>
    <row r="109">
      <c r="A109" s="250"/>
      <c r="B109" s="250"/>
      <c r="C109" s="250"/>
      <c r="D109" s="250"/>
      <c r="E109" s="250"/>
      <c r="F109" s="250"/>
      <c r="G109" s="250"/>
      <c r="H109" s="250"/>
      <c r="I109" s="250"/>
    </row>
    <row r="110">
      <c r="A110" s="250"/>
      <c r="B110" s="250"/>
      <c r="C110" s="250"/>
      <c r="D110" s="250"/>
      <c r="E110" s="250"/>
      <c r="F110" s="250"/>
      <c r="G110" s="250"/>
      <c r="H110" s="250"/>
      <c r="I110" s="250"/>
    </row>
    <row r="111">
      <c r="A111" s="250"/>
      <c r="B111" s="250"/>
      <c r="C111" s="250"/>
      <c r="D111" s="250"/>
      <c r="E111" s="250"/>
      <c r="F111" s="250"/>
      <c r="G111" s="250"/>
      <c r="H111" s="250"/>
      <c r="I111" s="250"/>
    </row>
    <row r="112">
      <c r="A112" s="250"/>
      <c r="B112" s="250"/>
      <c r="C112" s="250"/>
      <c r="D112" s="250"/>
      <c r="E112" s="250"/>
      <c r="F112" s="250"/>
      <c r="G112" s="250"/>
      <c r="H112" s="250"/>
      <c r="I112" s="250"/>
    </row>
    <row r="113">
      <c r="A113" s="250"/>
      <c r="B113" s="250"/>
      <c r="C113" s="250"/>
      <c r="D113" s="250"/>
      <c r="E113" s="250"/>
      <c r="F113" s="250"/>
      <c r="G113" s="250"/>
      <c r="H113" s="250"/>
      <c r="I113" s="250"/>
    </row>
    <row r="114">
      <c r="A114" s="250"/>
      <c r="B114" s="250"/>
      <c r="C114" s="250"/>
      <c r="D114" s="250"/>
      <c r="E114" s="250"/>
      <c r="F114" s="250"/>
      <c r="G114" s="250"/>
      <c r="H114" s="250"/>
      <c r="I114" s="250"/>
    </row>
    <row r="115">
      <c r="A115" s="250"/>
      <c r="B115" s="250"/>
      <c r="C115" s="250"/>
      <c r="D115" s="250"/>
      <c r="E115" s="250"/>
      <c r="F115" s="250"/>
      <c r="G115" s="250"/>
      <c r="H115" s="250"/>
      <c r="I115" s="250"/>
    </row>
    <row r="116">
      <c r="A116" s="250"/>
      <c r="B116" s="250"/>
      <c r="C116" s="250"/>
      <c r="D116" s="250"/>
      <c r="E116" s="250"/>
      <c r="F116" s="250"/>
      <c r="G116" s="250"/>
      <c r="H116" s="250"/>
      <c r="I116" s="250"/>
    </row>
    <row r="117">
      <c r="A117" s="250"/>
      <c r="B117" s="250"/>
      <c r="C117" s="250"/>
      <c r="D117" s="250"/>
      <c r="E117" s="250"/>
      <c r="F117" s="250"/>
      <c r="G117" s="250"/>
      <c r="H117" s="250"/>
      <c r="I117" s="250"/>
    </row>
    <row r="118">
      <c r="A118" s="250"/>
      <c r="B118" s="250"/>
      <c r="C118" s="250"/>
      <c r="D118" s="250"/>
      <c r="E118" s="250"/>
      <c r="F118" s="250"/>
      <c r="G118" s="250"/>
      <c r="H118" s="250"/>
      <c r="I118" s="250"/>
    </row>
    <row r="119">
      <c r="A119" s="250"/>
      <c r="B119" s="250"/>
      <c r="C119" s="250"/>
      <c r="D119" s="250"/>
      <c r="E119" s="250"/>
      <c r="F119" s="250"/>
      <c r="G119" s="250"/>
      <c r="H119" s="250"/>
      <c r="I119" s="250"/>
    </row>
    <row r="120">
      <c r="A120" s="250"/>
      <c r="B120" s="250"/>
      <c r="C120" s="250"/>
      <c r="D120" s="250"/>
      <c r="E120" s="250"/>
      <c r="F120" s="250"/>
      <c r="G120" s="250"/>
      <c r="H120" s="250"/>
      <c r="I120" s="250"/>
    </row>
    <row r="121">
      <c r="A121" s="250"/>
      <c r="B121" s="250"/>
      <c r="C121" s="250"/>
      <c r="D121" s="250"/>
      <c r="E121" s="250"/>
      <c r="F121" s="250"/>
      <c r="G121" s="250"/>
      <c r="H121" s="250"/>
      <c r="I121" s="250"/>
    </row>
    <row r="122">
      <c r="A122" s="250"/>
      <c r="B122" s="250"/>
      <c r="C122" s="250"/>
      <c r="D122" s="250"/>
      <c r="E122" s="250"/>
      <c r="F122" s="250"/>
      <c r="G122" s="250"/>
      <c r="H122" s="250"/>
      <c r="I122" s="250"/>
    </row>
    <row r="123">
      <c r="A123" s="250"/>
      <c r="B123" s="250"/>
      <c r="C123" s="250"/>
      <c r="D123" s="250"/>
      <c r="E123" s="250"/>
      <c r="F123" s="250"/>
      <c r="G123" s="250"/>
      <c r="H123" s="250"/>
      <c r="I123" s="250"/>
    </row>
    <row r="124">
      <c r="A124" s="250"/>
      <c r="B124" s="250"/>
      <c r="C124" s="250"/>
      <c r="D124" s="250"/>
      <c r="E124" s="250"/>
      <c r="F124" s="250"/>
      <c r="G124" s="250"/>
      <c r="H124" s="250"/>
      <c r="I124" s="250"/>
    </row>
    <row r="125">
      <c r="A125" s="250"/>
      <c r="B125" s="250"/>
      <c r="C125" s="250"/>
      <c r="D125" s="250"/>
      <c r="E125" s="250"/>
      <c r="F125" s="250"/>
      <c r="G125" s="250"/>
      <c r="H125" s="250"/>
      <c r="I125" s="250"/>
    </row>
    <row r="126">
      <c r="A126" s="250"/>
      <c r="B126" s="250"/>
      <c r="C126" s="250"/>
      <c r="D126" s="250"/>
      <c r="E126" s="250"/>
      <c r="F126" s="250"/>
      <c r="G126" s="250"/>
      <c r="H126" s="250"/>
      <c r="I126" s="250"/>
    </row>
    <row r="127">
      <c r="A127" s="250"/>
      <c r="B127" s="250"/>
      <c r="C127" s="250"/>
      <c r="D127" s="250"/>
      <c r="E127" s="250"/>
      <c r="F127" s="250"/>
      <c r="G127" s="250"/>
      <c r="H127" s="250"/>
      <c r="I127" s="250"/>
    </row>
    <row r="128">
      <c r="A128" s="250"/>
      <c r="B128" s="250"/>
      <c r="C128" s="250"/>
      <c r="D128" s="250"/>
      <c r="E128" s="250"/>
      <c r="F128" s="250"/>
      <c r="G128" s="250"/>
      <c r="H128" s="250"/>
      <c r="I128" s="250"/>
    </row>
    <row r="129">
      <c r="A129" s="250"/>
      <c r="B129" s="250"/>
      <c r="C129" s="250"/>
      <c r="D129" s="250"/>
      <c r="E129" s="250"/>
      <c r="F129" s="250"/>
      <c r="G129" s="250"/>
      <c r="H129" s="250"/>
      <c r="I129" s="250"/>
    </row>
    <row r="130">
      <c r="A130" s="250"/>
      <c r="B130" s="250"/>
      <c r="C130" s="250"/>
      <c r="D130" s="250"/>
      <c r="E130" s="250"/>
      <c r="F130" s="250"/>
      <c r="G130" s="250"/>
      <c r="H130" s="250"/>
      <c r="I130" s="250"/>
    </row>
    <row r="131">
      <c r="A131" s="250"/>
      <c r="B131" s="250"/>
      <c r="C131" s="250"/>
      <c r="D131" s="250"/>
      <c r="E131" s="250"/>
      <c r="F131" s="250"/>
      <c r="G131" s="250"/>
      <c r="H131" s="250"/>
      <c r="I131" s="250"/>
    </row>
    <row r="132">
      <c r="A132" s="250"/>
      <c r="B132" s="250"/>
      <c r="C132" s="250"/>
      <c r="D132" s="250"/>
      <c r="E132" s="250"/>
      <c r="F132" s="250"/>
      <c r="G132" s="250"/>
      <c r="H132" s="250"/>
      <c r="I132" s="250"/>
    </row>
    <row r="133">
      <c r="A133" s="250"/>
      <c r="B133" s="250"/>
      <c r="C133" s="250"/>
      <c r="D133" s="250"/>
      <c r="E133" s="250"/>
      <c r="F133" s="250"/>
      <c r="G133" s="250"/>
      <c r="H133" s="250"/>
      <c r="I133" s="250"/>
    </row>
    <row r="134">
      <c r="A134" s="250"/>
      <c r="B134" s="250"/>
      <c r="C134" s="250"/>
      <c r="D134" s="250"/>
      <c r="E134" s="250"/>
      <c r="F134" s="250"/>
      <c r="G134" s="250"/>
      <c r="H134" s="250"/>
      <c r="I134" s="250"/>
    </row>
    <row r="135">
      <c r="A135" s="250"/>
      <c r="B135" s="250"/>
      <c r="C135" s="250"/>
      <c r="D135" s="250"/>
      <c r="E135" s="250"/>
      <c r="F135" s="250"/>
      <c r="G135" s="250"/>
      <c r="H135" s="250"/>
      <c r="I135" s="250"/>
    </row>
    <row r="136">
      <c r="A136" s="250"/>
      <c r="B136" s="250"/>
      <c r="C136" s="250"/>
      <c r="D136" s="250"/>
      <c r="E136" s="250"/>
      <c r="F136" s="250"/>
      <c r="G136" s="250"/>
      <c r="H136" s="250"/>
      <c r="I136" s="250"/>
    </row>
    <row r="137">
      <c r="A137" s="250"/>
      <c r="B137" s="250"/>
      <c r="C137" s="250"/>
      <c r="D137" s="250"/>
      <c r="E137" s="250"/>
      <c r="F137" s="250"/>
      <c r="G137" s="250"/>
      <c r="H137" s="250"/>
      <c r="I137" s="250"/>
    </row>
    <row r="138">
      <c r="A138" s="250"/>
      <c r="B138" s="250"/>
      <c r="C138" s="250"/>
      <c r="D138" s="250"/>
      <c r="E138" s="250"/>
      <c r="F138" s="250"/>
      <c r="G138" s="250"/>
      <c r="H138" s="250"/>
      <c r="I138" s="250"/>
    </row>
    <row r="139">
      <c r="A139" s="250"/>
      <c r="B139" s="250"/>
      <c r="C139" s="250"/>
      <c r="D139" s="250"/>
      <c r="E139" s="250"/>
      <c r="F139" s="250"/>
      <c r="G139" s="250"/>
      <c r="H139" s="250"/>
      <c r="I139" s="250"/>
    </row>
    <row r="140">
      <c r="A140" s="250"/>
      <c r="B140" s="250"/>
      <c r="C140" s="250"/>
      <c r="D140" s="250"/>
      <c r="E140" s="250"/>
      <c r="F140" s="250"/>
      <c r="G140" s="250"/>
      <c r="H140" s="250"/>
      <c r="I140" s="250"/>
    </row>
    <row r="141">
      <c r="A141" s="250"/>
      <c r="B141" s="250"/>
      <c r="C141" s="250"/>
      <c r="D141" s="250"/>
      <c r="E141" s="250"/>
      <c r="F141" s="250"/>
      <c r="G141" s="250"/>
      <c r="H141" s="250"/>
      <c r="I141" s="250"/>
    </row>
    <row r="142">
      <c r="A142" s="250"/>
      <c r="B142" s="250"/>
      <c r="C142" s="250"/>
      <c r="D142" s="250"/>
      <c r="E142" s="250"/>
      <c r="F142" s="250"/>
      <c r="G142" s="250"/>
      <c r="H142" s="250"/>
      <c r="I142" s="250"/>
    </row>
    <row r="143">
      <c r="A143" s="250"/>
      <c r="B143" s="250"/>
      <c r="C143" s="250"/>
      <c r="D143" s="250"/>
      <c r="E143" s="250"/>
      <c r="F143" s="250"/>
      <c r="G143" s="250"/>
      <c r="H143" s="250"/>
      <c r="I143" s="250"/>
    </row>
    <row r="144">
      <c r="A144" s="250"/>
      <c r="B144" s="250"/>
      <c r="C144" s="250"/>
      <c r="D144" s="250"/>
      <c r="E144" s="250"/>
      <c r="F144" s="250"/>
      <c r="G144" s="250"/>
      <c r="H144" s="250"/>
      <c r="I144" s="250"/>
    </row>
    <row r="145">
      <c r="A145" s="250"/>
      <c r="B145" s="250"/>
      <c r="C145" s="250"/>
      <c r="D145" s="250"/>
      <c r="E145" s="250"/>
      <c r="F145" s="250"/>
      <c r="G145" s="250"/>
      <c r="H145" s="250"/>
      <c r="I145" s="250"/>
    </row>
    <row r="146">
      <c r="A146" s="250"/>
      <c r="B146" s="250"/>
      <c r="C146" s="250"/>
      <c r="D146" s="250"/>
      <c r="E146" s="250"/>
      <c r="F146" s="250"/>
      <c r="G146" s="250"/>
      <c r="H146" s="250"/>
      <c r="I146" s="250"/>
    </row>
    <row r="147">
      <c r="A147" s="250"/>
      <c r="B147" s="250"/>
      <c r="C147" s="250"/>
      <c r="D147" s="250"/>
      <c r="E147" s="250"/>
      <c r="F147" s="250"/>
      <c r="G147" s="250"/>
      <c r="H147" s="250"/>
      <c r="I147" s="250"/>
    </row>
    <row r="148">
      <c r="A148" s="250"/>
      <c r="B148" s="250"/>
      <c r="C148" s="250"/>
      <c r="D148" s="250"/>
      <c r="E148" s="250"/>
      <c r="F148" s="250"/>
      <c r="G148" s="250"/>
      <c r="H148" s="250"/>
      <c r="I148" s="250"/>
    </row>
    <row r="149">
      <c r="A149" s="250"/>
      <c r="B149" s="250"/>
      <c r="C149" s="250"/>
      <c r="D149" s="250"/>
      <c r="E149" s="250"/>
      <c r="F149" s="250"/>
      <c r="G149" s="250"/>
      <c r="H149" s="250"/>
      <c r="I149" s="250"/>
    </row>
    <row r="150">
      <c r="A150" s="250"/>
      <c r="B150" s="250"/>
      <c r="C150" s="250"/>
      <c r="D150" s="250"/>
      <c r="E150" s="250"/>
      <c r="F150" s="250"/>
      <c r="G150" s="250"/>
      <c r="H150" s="250"/>
      <c r="I150" s="250"/>
    </row>
    <row r="151">
      <c r="A151" s="250"/>
      <c r="B151" s="250"/>
      <c r="C151" s="250"/>
      <c r="D151" s="250"/>
      <c r="E151" s="250"/>
      <c r="F151" s="250"/>
      <c r="G151" s="250"/>
      <c r="H151" s="250"/>
      <c r="I151" s="250"/>
    </row>
    <row r="152">
      <c r="A152" s="250"/>
      <c r="B152" s="250"/>
      <c r="C152" s="250"/>
      <c r="D152" s="250"/>
      <c r="E152" s="250"/>
      <c r="F152" s="250"/>
      <c r="G152" s="250"/>
      <c r="H152" s="250"/>
      <c r="I152" s="250"/>
    </row>
    <row r="153">
      <c r="A153" s="250"/>
      <c r="B153" s="250"/>
      <c r="C153" s="250"/>
      <c r="D153" s="250"/>
      <c r="E153" s="250"/>
      <c r="F153" s="250"/>
      <c r="G153" s="250"/>
      <c r="H153" s="250"/>
      <c r="I153" s="250"/>
    </row>
    <row r="154">
      <c r="A154" s="250"/>
      <c r="B154" s="250"/>
      <c r="C154" s="250"/>
      <c r="D154" s="250"/>
      <c r="E154" s="250"/>
      <c r="F154" s="250"/>
      <c r="G154" s="250"/>
      <c r="H154" s="250"/>
      <c r="I154" s="250"/>
    </row>
    <row r="155">
      <c r="A155" s="250"/>
      <c r="B155" s="250"/>
      <c r="C155" s="250"/>
      <c r="D155" s="250"/>
      <c r="E155" s="250"/>
      <c r="F155" s="250"/>
      <c r="G155" s="250"/>
      <c r="H155" s="250"/>
      <c r="I155" s="250"/>
    </row>
    <row r="156">
      <c r="A156" s="250"/>
      <c r="B156" s="250"/>
      <c r="C156" s="250"/>
      <c r="D156" s="250"/>
      <c r="E156" s="250"/>
      <c r="F156" s="250"/>
      <c r="G156" s="250"/>
      <c r="H156" s="250"/>
      <c r="I156" s="250"/>
    </row>
    <row r="157">
      <c r="A157" s="250"/>
      <c r="B157" s="250"/>
      <c r="C157" s="250"/>
      <c r="D157" s="250"/>
      <c r="E157" s="250"/>
      <c r="F157" s="250"/>
      <c r="G157" s="250"/>
      <c r="H157" s="250"/>
      <c r="I157" s="250"/>
    </row>
    <row r="158">
      <c r="A158" s="250"/>
      <c r="B158" s="250"/>
      <c r="C158" s="250"/>
      <c r="D158" s="250"/>
      <c r="E158" s="250"/>
      <c r="F158" s="250"/>
      <c r="G158" s="250"/>
      <c r="H158" s="250"/>
      <c r="I158" s="250"/>
    </row>
    <row r="159">
      <c r="A159" s="250"/>
      <c r="B159" s="250"/>
      <c r="C159" s="250"/>
      <c r="D159" s="250"/>
      <c r="E159" s="250"/>
      <c r="F159" s="250"/>
      <c r="G159" s="250"/>
      <c r="H159" s="250"/>
      <c r="I159" s="250"/>
    </row>
    <row r="160">
      <c r="A160" s="250"/>
      <c r="B160" s="250"/>
      <c r="C160" s="250"/>
      <c r="D160" s="250"/>
      <c r="E160" s="250"/>
      <c r="F160" s="250"/>
      <c r="G160" s="250"/>
      <c r="H160" s="250"/>
      <c r="I160" s="250"/>
    </row>
    <row r="161">
      <c r="A161" s="250"/>
      <c r="B161" s="250"/>
      <c r="C161" s="250"/>
      <c r="D161" s="250"/>
      <c r="E161" s="250"/>
      <c r="F161" s="250"/>
      <c r="G161" s="250"/>
      <c r="H161" s="250"/>
      <c r="I161" s="250"/>
    </row>
    <row r="162">
      <c r="A162" s="250"/>
      <c r="B162" s="250"/>
      <c r="C162" s="250"/>
      <c r="D162" s="250"/>
      <c r="E162" s="250"/>
      <c r="F162" s="250"/>
      <c r="G162" s="250"/>
      <c r="H162" s="250"/>
      <c r="I162" s="250"/>
    </row>
    <row r="163">
      <c r="A163" s="250"/>
      <c r="B163" s="250"/>
      <c r="C163" s="250"/>
      <c r="D163" s="250"/>
      <c r="E163" s="250"/>
      <c r="F163" s="250"/>
      <c r="G163" s="250"/>
      <c r="H163" s="250"/>
      <c r="I163" s="250"/>
    </row>
    <row r="164">
      <c r="A164" s="250"/>
      <c r="B164" s="250"/>
      <c r="C164" s="250"/>
      <c r="D164" s="250"/>
      <c r="E164" s="250"/>
      <c r="F164" s="250"/>
      <c r="G164" s="250"/>
      <c r="H164" s="250"/>
      <c r="I164" s="250"/>
    </row>
    <row r="165">
      <c r="A165" s="250"/>
      <c r="B165" s="250"/>
      <c r="C165" s="250"/>
      <c r="D165" s="250"/>
      <c r="E165" s="250"/>
      <c r="F165" s="250"/>
      <c r="G165" s="250"/>
      <c r="H165" s="250"/>
      <c r="I165" s="250"/>
    </row>
    <row r="166">
      <c r="A166" s="250"/>
      <c r="B166" s="250"/>
      <c r="C166" s="250"/>
      <c r="D166" s="250"/>
      <c r="E166" s="250"/>
      <c r="F166" s="250"/>
      <c r="G166" s="250"/>
      <c r="H166" s="250"/>
      <c r="I166" s="250"/>
    </row>
    <row r="167">
      <c r="A167" s="250"/>
      <c r="B167" s="250"/>
      <c r="C167" s="250"/>
      <c r="D167" s="250"/>
      <c r="E167" s="250"/>
      <c r="F167" s="250"/>
      <c r="G167" s="250"/>
      <c r="H167" s="250"/>
      <c r="I167" s="250"/>
    </row>
    <row r="168">
      <c r="A168" s="250"/>
      <c r="B168" s="250"/>
      <c r="C168" s="250"/>
      <c r="D168" s="250"/>
      <c r="E168" s="250"/>
      <c r="F168" s="250"/>
      <c r="G168" s="250"/>
      <c r="H168" s="250"/>
      <c r="I168" s="250"/>
    </row>
    <row r="169">
      <c r="A169" s="250"/>
      <c r="B169" s="250"/>
      <c r="C169" s="250"/>
      <c r="D169" s="250"/>
      <c r="E169" s="250"/>
      <c r="F169" s="250"/>
      <c r="G169" s="250"/>
      <c r="H169" s="250"/>
      <c r="I169" s="250"/>
    </row>
    <row r="170">
      <c r="A170" s="250"/>
      <c r="B170" s="250"/>
      <c r="C170" s="250"/>
      <c r="D170" s="250"/>
      <c r="E170" s="250"/>
      <c r="F170" s="250"/>
      <c r="G170" s="250"/>
      <c r="H170" s="250"/>
      <c r="I170" s="250"/>
    </row>
    <row r="171">
      <c r="A171" s="250"/>
      <c r="B171" s="250"/>
      <c r="C171" s="250"/>
      <c r="D171" s="250"/>
      <c r="E171" s="250"/>
      <c r="F171" s="250"/>
      <c r="G171" s="250"/>
      <c r="H171" s="250"/>
      <c r="I171" s="250"/>
    </row>
    <row r="172">
      <c r="A172" s="250"/>
      <c r="B172" s="250"/>
      <c r="C172" s="250"/>
      <c r="D172" s="250"/>
      <c r="E172" s="250"/>
      <c r="F172" s="250"/>
      <c r="G172" s="250"/>
      <c r="H172" s="250"/>
      <c r="I172" s="250"/>
    </row>
    <row r="173">
      <c r="A173" s="250"/>
      <c r="B173" s="250"/>
      <c r="C173" s="250"/>
      <c r="D173" s="250"/>
      <c r="E173" s="250"/>
      <c r="F173" s="250"/>
      <c r="G173" s="250"/>
      <c r="H173" s="250"/>
      <c r="I173" s="250"/>
    </row>
    <row r="174">
      <c r="A174" s="250"/>
      <c r="B174" s="250"/>
      <c r="C174" s="250"/>
      <c r="D174" s="250"/>
      <c r="E174" s="250"/>
      <c r="F174" s="250"/>
      <c r="G174" s="250"/>
      <c r="H174" s="250"/>
      <c r="I174" s="250"/>
    </row>
    <row r="175">
      <c r="A175" s="250"/>
      <c r="B175" s="250"/>
      <c r="C175" s="250"/>
      <c r="D175" s="250"/>
      <c r="E175" s="250"/>
      <c r="F175" s="250"/>
      <c r="G175" s="250"/>
      <c r="H175" s="250"/>
      <c r="I175" s="250"/>
    </row>
    <row r="176">
      <c r="A176" s="250"/>
      <c r="B176" s="250"/>
      <c r="C176" s="250"/>
      <c r="D176" s="250"/>
      <c r="E176" s="250"/>
      <c r="F176" s="250"/>
      <c r="G176" s="250"/>
      <c r="H176" s="250"/>
      <c r="I176" s="250"/>
    </row>
    <row r="177">
      <c r="A177" s="250"/>
      <c r="B177" s="250"/>
      <c r="C177" s="250"/>
      <c r="D177" s="250"/>
      <c r="E177" s="250"/>
      <c r="F177" s="250"/>
      <c r="G177" s="250"/>
      <c r="H177" s="250"/>
      <c r="I177" s="250"/>
    </row>
    <row r="178">
      <c r="A178" s="250"/>
      <c r="B178" s="250"/>
      <c r="C178" s="250"/>
      <c r="D178" s="250"/>
      <c r="E178" s="250"/>
      <c r="F178" s="250"/>
      <c r="G178" s="250"/>
      <c r="H178" s="250"/>
      <c r="I178" s="250"/>
    </row>
    <row r="179">
      <c r="A179" s="250"/>
      <c r="B179" s="250"/>
      <c r="C179" s="250"/>
      <c r="D179" s="250"/>
      <c r="E179" s="250"/>
      <c r="F179" s="250"/>
      <c r="G179" s="250"/>
      <c r="H179" s="250"/>
      <c r="I179" s="250"/>
    </row>
    <row r="180">
      <c r="A180" s="250"/>
      <c r="B180" s="250"/>
      <c r="C180" s="250"/>
      <c r="D180" s="250"/>
      <c r="E180" s="250"/>
      <c r="F180" s="250"/>
      <c r="G180" s="250"/>
      <c r="H180" s="250"/>
      <c r="I180" s="250"/>
    </row>
    <row r="181">
      <c r="A181" s="250"/>
      <c r="B181" s="250"/>
      <c r="C181" s="250"/>
      <c r="D181" s="250"/>
      <c r="E181" s="250"/>
      <c r="F181" s="250"/>
      <c r="G181" s="250"/>
      <c r="H181" s="250"/>
      <c r="I181" s="250"/>
    </row>
    <row r="182">
      <c r="A182" s="250"/>
      <c r="B182" s="250"/>
      <c r="C182" s="250"/>
      <c r="D182" s="250"/>
      <c r="E182" s="250"/>
      <c r="F182" s="250"/>
      <c r="G182" s="250"/>
      <c r="H182" s="250"/>
      <c r="I182" s="250"/>
    </row>
    <row r="183">
      <c r="A183" s="250"/>
      <c r="B183" s="250"/>
      <c r="C183" s="250"/>
      <c r="D183" s="250"/>
      <c r="E183" s="250"/>
      <c r="F183" s="250"/>
      <c r="G183" s="250"/>
      <c r="H183" s="250"/>
      <c r="I183" s="250"/>
    </row>
    <row r="184">
      <c r="A184" s="250"/>
      <c r="B184" s="250"/>
      <c r="C184" s="250"/>
      <c r="D184" s="250"/>
      <c r="E184" s="250"/>
      <c r="F184" s="250"/>
      <c r="G184" s="250"/>
      <c r="H184" s="250"/>
      <c r="I184" s="250"/>
    </row>
    <row r="185">
      <c r="A185" s="250"/>
      <c r="B185" s="250"/>
      <c r="C185" s="250"/>
      <c r="D185" s="250"/>
      <c r="E185" s="250"/>
      <c r="F185" s="250"/>
      <c r="G185" s="250"/>
      <c r="H185" s="250"/>
      <c r="I185" s="250"/>
    </row>
    <row r="186">
      <c r="A186" s="250"/>
      <c r="B186" s="250"/>
      <c r="C186" s="250"/>
      <c r="D186" s="250"/>
      <c r="E186" s="250"/>
      <c r="F186" s="250"/>
      <c r="G186" s="250"/>
      <c r="H186" s="250"/>
      <c r="I186" s="250"/>
    </row>
    <row r="187">
      <c r="A187" s="250"/>
      <c r="B187" s="250"/>
      <c r="C187" s="250"/>
      <c r="D187" s="250"/>
      <c r="E187" s="250"/>
      <c r="F187" s="250"/>
      <c r="G187" s="250"/>
      <c r="H187" s="250"/>
      <c r="I187" s="250"/>
    </row>
    <row r="188">
      <c r="A188" s="250"/>
      <c r="B188" s="250"/>
      <c r="C188" s="250"/>
      <c r="D188" s="250"/>
      <c r="E188" s="250"/>
      <c r="F188" s="250"/>
      <c r="G188" s="250"/>
      <c r="H188" s="250"/>
      <c r="I188" s="250"/>
    </row>
    <row r="189">
      <c r="A189" s="250"/>
      <c r="B189" s="250"/>
      <c r="C189" s="250"/>
      <c r="D189" s="250"/>
      <c r="E189" s="250"/>
      <c r="F189" s="250"/>
      <c r="G189" s="250"/>
      <c r="H189" s="250"/>
      <c r="I189" s="250"/>
    </row>
    <row r="190">
      <c r="A190" s="250"/>
      <c r="B190" s="250"/>
      <c r="C190" s="250"/>
      <c r="D190" s="250"/>
      <c r="E190" s="250"/>
      <c r="F190" s="250"/>
      <c r="G190" s="250"/>
      <c r="H190" s="250"/>
      <c r="I190" s="250"/>
    </row>
    <row r="191">
      <c r="A191" s="250"/>
      <c r="B191" s="250"/>
      <c r="C191" s="250"/>
      <c r="D191" s="250"/>
      <c r="E191" s="250"/>
      <c r="F191" s="250"/>
      <c r="G191" s="250"/>
      <c r="H191" s="250"/>
      <c r="I191" s="250"/>
    </row>
    <row r="192">
      <c r="A192" s="250"/>
      <c r="B192" s="250"/>
      <c r="C192" s="250"/>
      <c r="D192" s="250"/>
      <c r="E192" s="250"/>
      <c r="F192" s="250"/>
      <c r="G192" s="250"/>
      <c r="H192" s="250"/>
      <c r="I192" s="250"/>
    </row>
    <row r="193">
      <c r="A193" s="250"/>
      <c r="B193" s="250"/>
      <c r="C193" s="250"/>
      <c r="D193" s="250"/>
      <c r="E193" s="250"/>
      <c r="F193" s="250"/>
      <c r="G193" s="250"/>
      <c r="H193" s="250"/>
      <c r="I193" s="250"/>
    </row>
    <row r="194">
      <c r="A194" s="250"/>
      <c r="B194" s="250"/>
      <c r="C194" s="250"/>
      <c r="D194" s="250"/>
      <c r="E194" s="250"/>
      <c r="F194" s="250"/>
      <c r="G194" s="250"/>
      <c r="H194" s="250"/>
      <c r="I194" s="250"/>
    </row>
    <row r="195">
      <c r="A195" s="250"/>
      <c r="B195" s="250"/>
      <c r="C195" s="250"/>
      <c r="D195" s="250"/>
      <c r="E195" s="250"/>
      <c r="F195" s="250"/>
      <c r="G195" s="250"/>
      <c r="H195" s="250"/>
      <c r="I195" s="250"/>
    </row>
    <row r="196">
      <c r="A196" s="250"/>
      <c r="B196" s="250"/>
      <c r="C196" s="250"/>
      <c r="D196" s="250"/>
      <c r="E196" s="250"/>
      <c r="F196" s="250"/>
      <c r="G196" s="250"/>
      <c r="H196" s="250"/>
      <c r="I196" s="250"/>
    </row>
    <row r="197">
      <c r="A197" s="250"/>
      <c r="B197" s="250"/>
      <c r="C197" s="250"/>
      <c r="D197" s="250"/>
      <c r="E197" s="250"/>
      <c r="F197" s="250"/>
      <c r="G197" s="250"/>
      <c r="H197" s="250"/>
      <c r="I197" s="250"/>
    </row>
    <row r="198">
      <c r="A198" s="250"/>
      <c r="B198" s="250"/>
      <c r="C198" s="250"/>
      <c r="D198" s="250"/>
      <c r="E198" s="250"/>
      <c r="F198" s="250"/>
      <c r="G198" s="250"/>
      <c r="H198" s="250"/>
      <c r="I198" s="250"/>
    </row>
    <row r="199">
      <c r="A199" s="250"/>
      <c r="B199" s="250"/>
      <c r="C199" s="250"/>
      <c r="D199" s="250"/>
      <c r="E199" s="250"/>
      <c r="F199" s="250"/>
      <c r="G199" s="250"/>
      <c r="H199" s="250"/>
      <c r="I199" s="250"/>
    </row>
    <row r="200">
      <c r="A200" s="250"/>
      <c r="B200" s="250"/>
      <c r="C200" s="250"/>
      <c r="D200" s="250"/>
      <c r="E200" s="250"/>
      <c r="F200" s="250"/>
      <c r="G200" s="250"/>
      <c r="H200" s="250"/>
      <c r="I200" s="250"/>
    </row>
    <row r="201">
      <c r="A201" s="250"/>
      <c r="B201" s="250"/>
      <c r="C201" s="250"/>
      <c r="D201" s="250"/>
      <c r="E201" s="250"/>
      <c r="F201" s="250"/>
      <c r="G201" s="250"/>
      <c r="H201" s="250"/>
      <c r="I201" s="250"/>
    </row>
    <row r="202">
      <c r="A202" s="250"/>
      <c r="B202" s="250"/>
      <c r="C202" s="250"/>
      <c r="D202" s="250"/>
      <c r="E202" s="250"/>
      <c r="F202" s="250"/>
      <c r="G202" s="250"/>
      <c r="H202" s="250"/>
      <c r="I202" s="250"/>
    </row>
    <row r="203">
      <c r="A203" s="250"/>
      <c r="B203" s="250"/>
      <c r="C203" s="250"/>
      <c r="D203" s="250"/>
      <c r="E203" s="250"/>
      <c r="F203" s="250"/>
      <c r="G203" s="250"/>
      <c r="H203" s="250"/>
      <c r="I203" s="250"/>
    </row>
    <row r="204">
      <c r="A204" s="250"/>
      <c r="B204" s="250"/>
      <c r="C204" s="250"/>
      <c r="D204" s="250"/>
      <c r="E204" s="250"/>
      <c r="F204" s="250"/>
      <c r="G204" s="250"/>
      <c r="H204" s="250"/>
      <c r="I204" s="250"/>
    </row>
    <row r="205">
      <c r="A205" s="250"/>
      <c r="B205" s="250"/>
      <c r="C205" s="250"/>
      <c r="D205" s="250"/>
      <c r="E205" s="250"/>
      <c r="F205" s="250"/>
      <c r="G205" s="250"/>
      <c r="H205" s="250"/>
      <c r="I205" s="250"/>
    </row>
    <row r="206">
      <c r="A206" s="250"/>
      <c r="B206" s="250"/>
      <c r="C206" s="250"/>
      <c r="D206" s="250"/>
      <c r="E206" s="250"/>
      <c r="F206" s="250"/>
      <c r="G206" s="250"/>
      <c r="H206" s="250"/>
      <c r="I206" s="250"/>
    </row>
    <row r="207">
      <c r="A207" s="250"/>
      <c r="B207" s="250"/>
      <c r="C207" s="250"/>
      <c r="D207" s="250"/>
      <c r="E207" s="250"/>
      <c r="F207" s="250"/>
      <c r="G207" s="250"/>
      <c r="H207" s="250"/>
      <c r="I207" s="250"/>
    </row>
    <row r="208">
      <c r="A208" s="250"/>
      <c r="B208" s="250"/>
      <c r="C208" s="250"/>
      <c r="D208" s="250"/>
      <c r="E208" s="250"/>
      <c r="F208" s="250"/>
      <c r="G208" s="250"/>
      <c r="H208" s="250"/>
      <c r="I208" s="250"/>
    </row>
    <row r="209">
      <c r="A209" s="250"/>
      <c r="B209" s="250"/>
      <c r="C209" s="250"/>
      <c r="D209" s="250"/>
      <c r="E209" s="250"/>
      <c r="F209" s="250"/>
      <c r="G209" s="250"/>
      <c r="H209" s="250"/>
      <c r="I209" s="250"/>
    </row>
    <row r="210">
      <c r="A210" s="250"/>
      <c r="B210" s="250"/>
      <c r="C210" s="250"/>
      <c r="D210" s="250"/>
      <c r="E210" s="250"/>
      <c r="F210" s="250"/>
      <c r="G210" s="250"/>
      <c r="H210" s="250"/>
      <c r="I210" s="250"/>
    </row>
    <row r="211">
      <c r="A211" s="250"/>
      <c r="B211" s="250"/>
      <c r="C211" s="250"/>
      <c r="D211" s="250"/>
      <c r="E211" s="250"/>
      <c r="F211" s="250"/>
      <c r="G211" s="250"/>
      <c r="H211" s="250"/>
      <c r="I211" s="250"/>
    </row>
    <row r="212">
      <c r="A212" s="250"/>
      <c r="B212" s="250"/>
      <c r="C212" s="250"/>
      <c r="D212" s="250"/>
      <c r="E212" s="250"/>
      <c r="F212" s="250"/>
      <c r="G212" s="250"/>
      <c r="H212" s="250"/>
      <c r="I212" s="250"/>
    </row>
    <row r="213">
      <c r="A213" s="250"/>
      <c r="B213" s="250"/>
      <c r="C213" s="250"/>
      <c r="D213" s="250"/>
      <c r="E213" s="250"/>
      <c r="F213" s="250"/>
      <c r="G213" s="250"/>
      <c r="H213" s="250"/>
      <c r="I213" s="250"/>
    </row>
    <row r="214">
      <c r="A214" s="250"/>
      <c r="B214" s="250"/>
      <c r="C214" s="250"/>
      <c r="D214" s="250"/>
      <c r="E214" s="250"/>
      <c r="F214" s="250"/>
      <c r="G214" s="250"/>
      <c r="H214" s="250"/>
      <c r="I214" s="250"/>
    </row>
    <row r="215">
      <c r="A215" s="250"/>
      <c r="B215" s="250"/>
      <c r="C215" s="250"/>
      <c r="D215" s="250"/>
      <c r="E215" s="250"/>
      <c r="F215" s="250"/>
      <c r="G215" s="250"/>
      <c r="H215" s="250"/>
      <c r="I215" s="250"/>
    </row>
    <row r="216">
      <c r="A216" s="250"/>
      <c r="B216" s="250"/>
      <c r="C216" s="250"/>
      <c r="D216" s="250"/>
      <c r="E216" s="250"/>
      <c r="F216" s="250"/>
      <c r="G216" s="250"/>
      <c r="H216" s="250"/>
      <c r="I216" s="250"/>
    </row>
    <row r="217">
      <c r="A217" s="250"/>
      <c r="B217" s="250"/>
      <c r="C217" s="250"/>
      <c r="D217" s="250"/>
      <c r="E217" s="250"/>
      <c r="F217" s="250"/>
      <c r="G217" s="250"/>
      <c r="H217" s="250"/>
      <c r="I217" s="250"/>
    </row>
    <row r="218">
      <c r="A218" s="250"/>
      <c r="B218" s="250"/>
      <c r="C218" s="250"/>
      <c r="D218" s="250"/>
      <c r="E218" s="250"/>
      <c r="F218" s="250"/>
      <c r="G218" s="250"/>
      <c r="H218" s="250"/>
      <c r="I218" s="250"/>
    </row>
    <row r="219">
      <c r="A219" s="250"/>
      <c r="B219" s="250"/>
      <c r="C219" s="250"/>
      <c r="D219" s="250"/>
      <c r="E219" s="250"/>
      <c r="F219" s="250"/>
      <c r="G219" s="250"/>
      <c r="H219" s="250"/>
      <c r="I219" s="250"/>
    </row>
    <row r="220">
      <c r="A220" s="250"/>
      <c r="B220" s="250"/>
      <c r="C220" s="250"/>
      <c r="D220" s="250"/>
      <c r="E220" s="250"/>
      <c r="F220" s="250"/>
      <c r="G220" s="250"/>
      <c r="H220" s="250"/>
      <c r="I220" s="250"/>
    </row>
    <row r="221">
      <c r="A221" s="250"/>
      <c r="B221" s="250"/>
      <c r="C221" s="250"/>
      <c r="D221" s="250"/>
      <c r="E221" s="250"/>
      <c r="F221" s="250"/>
      <c r="G221" s="250"/>
      <c r="H221" s="250"/>
      <c r="I221" s="250"/>
    </row>
    <row r="222">
      <c r="A222" s="250"/>
      <c r="B222" s="250"/>
      <c r="C222" s="250"/>
      <c r="D222" s="250"/>
      <c r="E222" s="250"/>
      <c r="F222" s="250"/>
      <c r="G222" s="250"/>
      <c r="H222" s="250"/>
      <c r="I222" s="250"/>
    </row>
    <row r="223">
      <c r="A223" s="250"/>
      <c r="B223" s="250"/>
      <c r="C223" s="250"/>
      <c r="D223" s="250"/>
      <c r="E223" s="250"/>
      <c r="F223" s="250"/>
      <c r="G223" s="250"/>
      <c r="H223" s="250"/>
      <c r="I223" s="250"/>
    </row>
    <row r="224">
      <c r="A224" s="250"/>
      <c r="B224" s="250"/>
      <c r="C224" s="250"/>
      <c r="D224" s="250"/>
      <c r="E224" s="250"/>
      <c r="F224" s="250"/>
      <c r="G224" s="250"/>
      <c r="H224" s="250"/>
      <c r="I224" s="250"/>
    </row>
    <row r="225">
      <c r="A225" s="250"/>
      <c r="B225" s="250"/>
      <c r="C225" s="250"/>
      <c r="D225" s="250"/>
      <c r="E225" s="250"/>
      <c r="F225" s="250"/>
      <c r="G225" s="250"/>
      <c r="H225" s="250"/>
      <c r="I225" s="250"/>
    </row>
    <row r="226">
      <c r="A226" s="250"/>
      <c r="B226" s="250"/>
      <c r="C226" s="250"/>
      <c r="D226" s="250"/>
      <c r="E226" s="250"/>
      <c r="F226" s="250"/>
      <c r="G226" s="250"/>
      <c r="H226" s="250"/>
      <c r="I226" s="250"/>
    </row>
    <row r="227">
      <c r="A227" s="250"/>
      <c r="B227" s="250"/>
      <c r="C227" s="250"/>
      <c r="D227" s="250"/>
      <c r="E227" s="250"/>
      <c r="F227" s="250"/>
      <c r="G227" s="250"/>
      <c r="H227" s="250"/>
      <c r="I227" s="250"/>
    </row>
    <row r="228">
      <c r="A228" s="250"/>
      <c r="B228" s="250"/>
      <c r="C228" s="250"/>
      <c r="D228" s="250"/>
      <c r="E228" s="250"/>
      <c r="F228" s="250"/>
      <c r="G228" s="250"/>
      <c r="H228" s="250"/>
      <c r="I228" s="250"/>
    </row>
    <row r="229">
      <c r="A229" s="250"/>
      <c r="B229" s="250"/>
      <c r="C229" s="250"/>
      <c r="D229" s="250"/>
      <c r="E229" s="250"/>
      <c r="F229" s="250"/>
      <c r="G229" s="250"/>
      <c r="H229" s="250"/>
      <c r="I229" s="250"/>
    </row>
    <row r="230">
      <c r="A230" s="250"/>
      <c r="B230" s="250"/>
      <c r="C230" s="250"/>
      <c r="D230" s="250"/>
      <c r="E230" s="250"/>
      <c r="F230" s="250"/>
      <c r="G230" s="250"/>
      <c r="H230" s="250"/>
      <c r="I230" s="250"/>
    </row>
    <row r="231">
      <c r="A231" s="250"/>
      <c r="B231" s="250"/>
      <c r="C231" s="250"/>
      <c r="D231" s="250"/>
      <c r="E231" s="250"/>
      <c r="F231" s="250"/>
      <c r="G231" s="250"/>
      <c r="H231" s="250"/>
      <c r="I231" s="250"/>
    </row>
    <row r="232">
      <c r="A232" s="250"/>
      <c r="B232" s="250"/>
      <c r="C232" s="250"/>
      <c r="D232" s="250"/>
      <c r="E232" s="250"/>
      <c r="F232" s="250"/>
      <c r="G232" s="250"/>
      <c r="H232" s="250"/>
      <c r="I232" s="250"/>
    </row>
    <row r="233">
      <c r="A233" s="250"/>
      <c r="B233" s="250"/>
      <c r="C233" s="250"/>
      <c r="D233" s="250"/>
      <c r="E233" s="250"/>
      <c r="F233" s="250"/>
      <c r="G233" s="250"/>
      <c r="H233" s="250"/>
      <c r="I233" s="250"/>
    </row>
    <row r="234">
      <c r="A234" s="250"/>
      <c r="B234" s="250"/>
      <c r="C234" s="250"/>
      <c r="D234" s="250"/>
      <c r="E234" s="250"/>
      <c r="F234" s="250"/>
      <c r="G234" s="250"/>
      <c r="H234" s="250"/>
      <c r="I234" s="250"/>
    </row>
    <row r="235">
      <c r="A235" s="250"/>
      <c r="B235" s="250"/>
      <c r="C235" s="250"/>
      <c r="D235" s="250"/>
      <c r="E235" s="250"/>
      <c r="F235" s="250"/>
      <c r="G235" s="250"/>
      <c r="H235" s="250"/>
      <c r="I235" s="250"/>
    </row>
    <row r="236">
      <c r="A236" s="250"/>
      <c r="B236" s="250"/>
      <c r="C236" s="250"/>
      <c r="D236" s="250"/>
      <c r="E236" s="250"/>
      <c r="F236" s="250"/>
      <c r="G236" s="250"/>
      <c r="H236" s="250"/>
      <c r="I236" s="250"/>
    </row>
    <row r="237">
      <c r="A237" s="250"/>
      <c r="B237" s="250"/>
      <c r="C237" s="250"/>
      <c r="D237" s="250"/>
      <c r="E237" s="250"/>
      <c r="F237" s="250"/>
      <c r="G237" s="250"/>
      <c r="H237" s="250"/>
      <c r="I237" s="250"/>
    </row>
    <row r="238">
      <c r="A238" s="250"/>
      <c r="B238" s="250"/>
      <c r="C238" s="250"/>
      <c r="D238" s="250"/>
      <c r="E238" s="250"/>
      <c r="F238" s="250"/>
      <c r="G238" s="250"/>
      <c r="H238" s="250"/>
      <c r="I238" s="250"/>
    </row>
    <row r="239">
      <c r="A239" s="250"/>
      <c r="B239" s="250"/>
      <c r="C239" s="250"/>
      <c r="D239" s="250"/>
      <c r="E239" s="250"/>
      <c r="F239" s="250"/>
      <c r="G239" s="250"/>
      <c r="H239" s="250"/>
      <c r="I239" s="250"/>
    </row>
    <row r="240">
      <c r="A240" s="250"/>
      <c r="B240" s="250"/>
      <c r="C240" s="250"/>
      <c r="D240" s="250"/>
      <c r="E240" s="250"/>
      <c r="F240" s="250"/>
      <c r="G240" s="250"/>
      <c r="H240" s="250"/>
      <c r="I240" s="250"/>
    </row>
    <row r="241">
      <c r="A241" s="250"/>
      <c r="B241" s="250"/>
      <c r="C241" s="250"/>
      <c r="D241" s="250"/>
      <c r="E241" s="250"/>
      <c r="F241" s="250"/>
      <c r="G241" s="250"/>
      <c r="H241" s="250"/>
      <c r="I241" s="250"/>
    </row>
    <row r="242">
      <c r="A242" s="250"/>
      <c r="B242" s="250"/>
      <c r="C242" s="250"/>
      <c r="D242" s="250"/>
      <c r="E242" s="250"/>
      <c r="F242" s="250"/>
      <c r="G242" s="250"/>
      <c r="H242" s="250"/>
      <c r="I242" s="250"/>
    </row>
    <row r="243">
      <c r="A243" s="250"/>
      <c r="B243" s="250"/>
      <c r="C243" s="250"/>
      <c r="D243" s="250"/>
      <c r="E243" s="250"/>
      <c r="F243" s="250"/>
      <c r="G243" s="250"/>
      <c r="H243" s="250"/>
      <c r="I243" s="250"/>
    </row>
    <row r="244">
      <c r="A244" s="250"/>
      <c r="B244" s="250"/>
      <c r="C244" s="250"/>
      <c r="D244" s="250"/>
      <c r="E244" s="250"/>
      <c r="F244" s="250"/>
      <c r="G244" s="250"/>
      <c r="H244" s="250"/>
      <c r="I244" s="250"/>
    </row>
    <row r="245">
      <c r="A245" s="250"/>
      <c r="B245" s="250"/>
      <c r="C245" s="250"/>
      <c r="D245" s="250"/>
      <c r="E245" s="250"/>
      <c r="F245" s="250"/>
      <c r="G245" s="250"/>
      <c r="H245" s="250"/>
      <c r="I245" s="250"/>
    </row>
    <row r="246">
      <c r="A246" s="250"/>
      <c r="B246" s="250"/>
      <c r="C246" s="250"/>
      <c r="D246" s="250"/>
      <c r="E246" s="250"/>
      <c r="F246" s="250"/>
      <c r="G246" s="250"/>
      <c r="H246" s="250"/>
      <c r="I246" s="250"/>
    </row>
    <row r="247">
      <c r="A247" s="250"/>
      <c r="B247" s="250"/>
      <c r="C247" s="250"/>
      <c r="D247" s="250"/>
      <c r="E247" s="250"/>
      <c r="F247" s="250"/>
      <c r="G247" s="250"/>
      <c r="H247" s="250"/>
      <c r="I247" s="250"/>
    </row>
    <row r="248">
      <c r="A248" s="250"/>
      <c r="B248" s="250"/>
      <c r="C248" s="250"/>
      <c r="D248" s="250"/>
      <c r="E248" s="250"/>
      <c r="F248" s="250"/>
      <c r="G248" s="250"/>
      <c r="H248" s="250"/>
      <c r="I248" s="250"/>
    </row>
    <row r="249">
      <c r="A249" s="250"/>
      <c r="B249" s="250"/>
      <c r="C249" s="250"/>
      <c r="D249" s="250"/>
      <c r="E249" s="250"/>
      <c r="F249" s="250"/>
      <c r="G249" s="250"/>
      <c r="H249" s="250"/>
      <c r="I249" s="250"/>
    </row>
    <row r="250">
      <c r="A250" s="250"/>
      <c r="B250" s="250"/>
      <c r="C250" s="250"/>
      <c r="D250" s="250"/>
      <c r="E250" s="250"/>
      <c r="F250" s="250"/>
      <c r="G250" s="250"/>
      <c r="H250" s="250"/>
      <c r="I250" s="250"/>
    </row>
    <row r="251">
      <c r="A251" s="250"/>
      <c r="B251" s="250"/>
      <c r="C251" s="250"/>
      <c r="D251" s="250"/>
      <c r="E251" s="250"/>
      <c r="F251" s="250"/>
      <c r="G251" s="250"/>
      <c r="H251" s="250"/>
      <c r="I251" s="250"/>
    </row>
    <row r="252">
      <c r="A252" s="250"/>
      <c r="B252" s="250"/>
      <c r="C252" s="250"/>
      <c r="D252" s="250"/>
      <c r="E252" s="250"/>
      <c r="F252" s="250"/>
      <c r="G252" s="250"/>
      <c r="H252" s="250"/>
      <c r="I252" s="250"/>
    </row>
    <row r="253">
      <c r="A253" s="250"/>
      <c r="B253" s="250"/>
      <c r="C253" s="250"/>
      <c r="D253" s="250"/>
      <c r="E253" s="250"/>
      <c r="F253" s="250"/>
      <c r="G253" s="250"/>
      <c r="H253" s="250"/>
      <c r="I253" s="250"/>
    </row>
    <row r="254">
      <c r="A254" s="250"/>
      <c r="B254" s="250"/>
      <c r="C254" s="250"/>
      <c r="D254" s="250"/>
      <c r="E254" s="250"/>
      <c r="F254" s="250"/>
      <c r="G254" s="250"/>
      <c r="H254" s="250"/>
      <c r="I254" s="250"/>
    </row>
    <row r="255">
      <c r="A255" s="250"/>
      <c r="B255" s="250"/>
      <c r="C255" s="250"/>
      <c r="D255" s="250"/>
      <c r="E255" s="250"/>
      <c r="F255" s="250"/>
      <c r="G255" s="250"/>
      <c r="H255" s="250"/>
      <c r="I255" s="250"/>
    </row>
    <row r="256">
      <c r="A256" s="250"/>
      <c r="B256" s="250"/>
      <c r="C256" s="250"/>
      <c r="D256" s="250"/>
      <c r="E256" s="250"/>
      <c r="F256" s="250"/>
      <c r="G256" s="250"/>
      <c r="H256" s="250"/>
      <c r="I256" s="250"/>
    </row>
    <row r="257">
      <c r="A257" s="250"/>
      <c r="B257" s="250"/>
      <c r="C257" s="250"/>
      <c r="D257" s="250"/>
      <c r="E257" s="250"/>
      <c r="F257" s="250"/>
      <c r="G257" s="250"/>
      <c r="H257" s="250"/>
      <c r="I257" s="250"/>
    </row>
    <row r="258">
      <c r="A258" s="250"/>
      <c r="B258" s="250"/>
      <c r="C258" s="250"/>
      <c r="D258" s="250"/>
      <c r="E258" s="250"/>
      <c r="F258" s="250"/>
      <c r="G258" s="250"/>
      <c r="H258" s="250"/>
      <c r="I258" s="250"/>
    </row>
    <row r="259">
      <c r="A259" s="250"/>
      <c r="B259" s="250"/>
      <c r="C259" s="250"/>
      <c r="D259" s="250"/>
      <c r="E259" s="250"/>
      <c r="F259" s="250"/>
      <c r="G259" s="250"/>
      <c r="H259" s="250"/>
      <c r="I259" s="250"/>
    </row>
    <row r="260">
      <c r="A260" s="250"/>
      <c r="B260" s="250"/>
      <c r="C260" s="250"/>
      <c r="D260" s="250"/>
      <c r="E260" s="250"/>
      <c r="F260" s="250"/>
      <c r="G260" s="250"/>
      <c r="H260" s="250"/>
      <c r="I260" s="250"/>
    </row>
    <row r="261">
      <c r="A261" s="250"/>
      <c r="B261" s="250"/>
      <c r="C261" s="250"/>
      <c r="D261" s="250"/>
      <c r="E261" s="250"/>
      <c r="F261" s="250"/>
      <c r="G261" s="250"/>
      <c r="H261" s="250"/>
      <c r="I261" s="250"/>
    </row>
    <row r="262">
      <c r="A262" s="250"/>
      <c r="B262" s="250"/>
      <c r="C262" s="250"/>
      <c r="D262" s="250"/>
      <c r="E262" s="250"/>
      <c r="F262" s="250"/>
      <c r="G262" s="250"/>
      <c r="H262" s="250"/>
      <c r="I262" s="250"/>
    </row>
    <row r="263">
      <c r="A263" s="250"/>
      <c r="B263" s="250"/>
      <c r="C263" s="250"/>
      <c r="D263" s="250"/>
      <c r="E263" s="250"/>
      <c r="F263" s="250"/>
      <c r="G263" s="250"/>
      <c r="H263" s="250"/>
      <c r="I263" s="250"/>
    </row>
    <row r="264">
      <c r="A264" s="250"/>
      <c r="B264" s="250"/>
      <c r="C264" s="250"/>
      <c r="D264" s="250"/>
      <c r="E264" s="250"/>
      <c r="F264" s="250"/>
      <c r="G264" s="250"/>
      <c r="H264" s="250"/>
      <c r="I264" s="250"/>
    </row>
    <row r="265">
      <c r="A265" s="250"/>
      <c r="B265" s="250"/>
      <c r="C265" s="250"/>
      <c r="D265" s="250"/>
      <c r="E265" s="250"/>
      <c r="F265" s="250"/>
      <c r="G265" s="250"/>
      <c r="H265" s="250"/>
      <c r="I265" s="250"/>
    </row>
    <row r="266">
      <c r="A266" s="250"/>
      <c r="B266" s="250"/>
      <c r="C266" s="250"/>
      <c r="D266" s="250"/>
      <c r="E266" s="250"/>
      <c r="F266" s="250"/>
      <c r="G266" s="250"/>
      <c r="H266" s="250"/>
      <c r="I266" s="250"/>
    </row>
    <row r="267">
      <c r="A267" s="250"/>
      <c r="B267" s="250"/>
      <c r="C267" s="250"/>
      <c r="D267" s="250"/>
      <c r="E267" s="250"/>
      <c r="F267" s="250"/>
      <c r="G267" s="250"/>
      <c r="H267" s="250"/>
      <c r="I267" s="250"/>
    </row>
    <row r="268">
      <c r="A268" s="250"/>
      <c r="B268" s="250"/>
      <c r="C268" s="250"/>
      <c r="D268" s="250"/>
      <c r="E268" s="250"/>
      <c r="F268" s="250"/>
      <c r="G268" s="250"/>
      <c r="H268" s="250"/>
      <c r="I268" s="250"/>
    </row>
    <row r="269">
      <c r="A269" s="250"/>
      <c r="B269" s="250"/>
      <c r="C269" s="250"/>
      <c r="D269" s="250"/>
      <c r="E269" s="250"/>
      <c r="F269" s="250"/>
      <c r="G269" s="250"/>
      <c r="H269" s="250"/>
      <c r="I269" s="250"/>
    </row>
    <row r="270">
      <c r="A270" s="250"/>
      <c r="B270" s="250"/>
      <c r="C270" s="250"/>
      <c r="D270" s="250"/>
      <c r="E270" s="250"/>
      <c r="F270" s="250"/>
      <c r="G270" s="250"/>
      <c r="H270" s="250"/>
      <c r="I270" s="250"/>
    </row>
    <row r="271">
      <c r="A271" s="250"/>
      <c r="B271" s="250"/>
      <c r="C271" s="250"/>
      <c r="D271" s="250"/>
      <c r="E271" s="250"/>
      <c r="F271" s="250"/>
      <c r="G271" s="250"/>
      <c r="H271" s="250"/>
      <c r="I271" s="250"/>
    </row>
    <row r="272">
      <c r="A272" s="250"/>
      <c r="B272" s="250"/>
      <c r="C272" s="250"/>
      <c r="D272" s="250"/>
      <c r="E272" s="250"/>
      <c r="F272" s="250"/>
      <c r="G272" s="250"/>
      <c r="H272" s="250"/>
      <c r="I272" s="250"/>
    </row>
    <row r="273">
      <c r="A273" s="250"/>
      <c r="B273" s="250"/>
      <c r="C273" s="250"/>
      <c r="D273" s="250"/>
      <c r="E273" s="250"/>
      <c r="F273" s="250"/>
      <c r="G273" s="250"/>
      <c r="H273" s="250"/>
      <c r="I273" s="250"/>
    </row>
    <row r="274">
      <c r="A274" s="250"/>
      <c r="B274" s="250"/>
      <c r="C274" s="250"/>
      <c r="D274" s="250"/>
      <c r="E274" s="250"/>
      <c r="F274" s="250"/>
      <c r="G274" s="250"/>
      <c r="H274" s="250"/>
      <c r="I274" s="250"/>
    </row>
    <row r="275">
      <c r="A275" s="250"/>
      <c r="B275" s="250"/>
      <c r="C275" s="250"/>
      <c r="D275" s="250"/>
      <c r="E275" s="250"/>
      <c r="F275" s="250"/>
      <c r="G275" s="250"/>
      <c r="H275" s="250"/>
      <c r="I275" s="250"/>
    </row>
    <row r="276">
      <c r="A276" s="250"/>
      <c r="B276" s="250"/>
      <c r="C276" s="250"/>
      <c r="D276" s="250"/>
      <c r="E276" s="250"/>
      <c r="F276" s="250"/>
      <c r="G276" s="250"/>
      <c r="H276" s="250"/>
      <c r="I276" s="250"/>
    </row>
    <row r="277">
      <c r="A277" s="250"/>
      <c r="B277" s="250"/>
      <c r="C277" s="250"/>
      <c r="D277" s="250"/>
      <c r="E277" s="250"/>
      <c r="F277" s="250"/>
      <c r="G277" s="250"/>
      <c r="H277" s="250"/>
      <c r="I277" s="250"/>
    </row>
    <row r="278">
      <c r="A278" s="250"/>
      <c r="B278" s="250"/>
      <c r="C278" s="250"/>
      <c r="D278" s="250"/>
      <c r="E278" s="250"/>
      <c r="F278" s="250"/>
      <c r="G278" s="250"/>
      <c r="H278" s="250"/>
      <c r="I278" s="250"/>
    </row>
    <row r="279">
      <c r="A279" s="250"/>
      <c r="B279" s="250"/>
      <c r="C279" s="250"/>
      <c r="D279" s="250"/>
      <c r="E279" s="250"/>
      <c r="F279" s="250"/>
      <c r="G279" s="250"/>
      <c r="H279" s="250"/>
      <c r="I279" s="250"/>
    </row>
    <row r="280">
      <c r="A280" s="250"/>
      <c r="B280" s="250"/>
      <c r="C280" s="250"/>
      <c r="D280" s="250"/>
      <c r="E280" s="250"/>
      <c r="F280" s="250"/>
      <c r="G280" s="250"/>
      <c r="H280" s="250"/>
      <c r="I280" s="250"/>
    </row>
    <row r="281">
      <c r="A281" s="250"/>
      <c r="B281" s="250"/>
      <c r="C281" s="250"/>
      <c r="D281" s="250"/>
      <c r="E281" s="250"/>
      <c r="F281" s="250"/>
      <c r="G281" s="250"/>
      <c r="H281" s="250"/>
      <c r="I281" s="250"/>
    </row>
    <row r="282">
      <c r="A282" s="250"/>
      <c r="B282" s="250"/>
      <c r="C282" s="250"/>
      <c r="D282" s="250"/>
      <c r="E282" s="250"/>
      <c r="F282" s="250"/>
      <c r="G282" s="250"/>
      <c r="H282" s="250"/>
      <c r="I282" s="250"/>
    </row>
    <row r="283">
      <c r="A283" s="250"/>
      <c r="B283" s="250"/>
      <c r="C283" s="250"/>
      <c r="D283" s="250"/>
      <c r="E283" s="250"/>
      <c r="F283" s="250"/>
      <c r="G283" s="250"/>
      <c r="H283" s="250"/>
      <c r="I283" s="250"/>
    </row>
    <row r="284">
      <c r="A284" s="250"/>
      <c r="B284" s="250"/>
      <c r="C284" s="250"/>
      <c r="D284" s="250"/>
      <c r="E284" s="250"/>
      <c r="F284" s="250"/>
      <c r="G284" s="250"/>
      <c r="H284" s="250"/>
      <c r="I284" s="250"/>
    </row>
    <row r="285">
      <c r="A285" s="250"/>
      <c r="B285" s="250"/>
      <c r="C285" s="250"/>
      <c r="D285" s="250"/>
      <c r="E285" s="250"/>
      <c r="F285" s="250"/>
      <c r="G285" s="250"/>
      <c r="H285" s="250"/>
      <c r="I285" s="250"/>
    </row>
    <row r="286">
      <c r="A286" s="250"/>
      <c r="B286" s="250"/>
      <c r="C286" s="250"/>
      <c r="D286" s="250"/>
      <c r="E286" s="250"/>
      <c r="F286" s="250"/>
      <c r="G286" s="250"/>
      <c r="H286" s="250"/>
      <c r="I286" s="250"/>
    </row>
    <row r="287">
      <c r="A287" s="250"/>
      <c r="B287" s="250"/>
      <c r="C287" s="250"/>
      <c r="D287" s="250"/>
      <c r="E287" s="250"/>
      <c r="F287" s="250"/>
      <c r="G287" s="250"/>
      <c r="H287" s="250"/>
      <c r="I287" s="250"/>
    </row>
    <row r="288">
      <c r="A288" s="250"/>
      <c r="B288" s="250"/>
      <c r="C288" s="250"/>
      <c r="D288" s="250"/>
      <c r="E288" s="250"/>
      <c r="F288" s="250"/>
      <c r="G288" s="250"/>
      <c r="H288" s="250"/>
      <c r="I288" s="250"/>
    </row>
    <row r="289">
      <c r="A289" s="250"/>
      <c r="B289" s="250"/>
      <c r="C289" s="250"/>
      <c r="D289" s="250"/>
      <c r="E289" s="250"/>
      <c r="F289" s="250"/>
      <c r="G289" s="250"/>
      <c r="H289" s="250"/>
      <c r="I289" s="250"/>
    </row>
    <row r="290">
      <c r="A290" s="250"/>
      <c r="B290" s="250"/>
      <c r="C290" s="250"/>
      <c r="D290" s="250"/>
      <c r="E290" s="250"/>
      <c r="F290" s="250"/>
      <c r="G290" s="250"/>
      <c r="H290" s="250"/>
      <c r="I290" s="250"/>
    </row>
    <row r="291">
      <c r="A291" s="250"/>
      <c r="B291" s="250"/>
      <c r="C291" s="250"/>
      <c r="D291" s="250"/>
      <c r="E291" s="250"/>
      <c r="F291" s="250"/>
      <c r="G291" s="250"/>
      <c r="H291" s="250"/>
      <c r="I291" s="250"/>
    </row>
    <row r="292">
      <c r="A292" s="250"/>
      <c r="B292" s="250"/>
      <c r="C292" s="250"/>
      <c r="D292" s="250"/>
      <c r="E292" s="250"/>
      <c r="F292" s="250"/>
      <c r="G292" s="250"/>
      <c r="H292" s="250"/>
      <c r="I292" s="250"/>
    </row>
    <row r="293">
      <c r="A293" s="250"/>
      <c r="B293" s="250"/>
      <c r="C293" s="250"/>
      <c r="D293" s="250"/>
      <c r="E293" s="250"/>
      <c r="F293" s="250"/>
      <c r="G293" s="250"/>
      <c r="H293" s="250"/>
      <c r="I293" s="250"/>
    </row>
    <row r="294">
      <c r="A294" s="250"/>
      <c r="B294" s="250"/>
      <c r="C294" s="250"/>
      <c r="D294" s="250"/>
      <c r="E294" s="250"/>
      <c r="F294" s="250"/>
      <c r="G294" s="250"/>
      <c r="H294" s="250"/>
      <c r="I294" s="250"/>
    </row>
    <row r="295">
      <c r="A295" s="250"/>
      <c r="B295" s="250"/>
      <c r="C295" s="250"/>
      <c r="D295" s="250"/>
      <c r="E295" s="250"/>
      <c r="F295" s="250"/>
      <c r="G295" s="250"/>
      <c r="H295" s="250"/>
      <c r="I295" s="250"/>
    </row>
    <row r="296">
      <c r="A296" s="250"/>
      <c r="B296" s="250"/>
      <c r="C296" s="250"/>
      <c r="D296" s="250"/>
      <c r="E296" s="250"/>
      <c r="F296" s="250"/>
      <c r="G296" s="250"/>
      <c r="H296" s="250"/>
      <c r="I296" s="250"/>
    </row>
    <row r="297">
      <c r="A297" s="250"/>
      <c r="B297" s="250"/>
      <c r="C297" s="250"/>
      <c r="D297" s="250"/>
      <c r="E297" s="250"/>
      <c r="F297" s="250"/>
      <c r="G297" s="250"/>
      <c r="H297" s="250"/>
      <c r="I297" s="250"/>
    </row>
    <row r="298">
      <c r="A298" s="250"/>
      <c r="B298" s="250"/>
      <c r="C298" s="250"/>
      <c r="D298" s="250"/>
      <c r="E298" s="250"/>
      <c r="F298" s="250"/>
      <c r="G298" s="250"/>
      <c r="H298" s="250"/>
      <c r="I298" s="250"/>
    </row>
    <row r="299">
      <c r="A299" s="250"/>
      <c r="B299" s="250"/>
      <c r="C299" s="250"/>
      <c r="D299" s="250"/>
      <c r="E299" s="250"/>
      <c r="F299" s="250"/>
      <c r="G299" s="250"/>
      <c r="H299" s="250"/>
      <c r="I299" s="250"/>
    </row>
    <row r="300">
      <c r="A300" s="250"/>
      <c r="B300" s="250"/>
      <c r="C300" s="250"/>
      <c r="D300" s="250"/>
      <c r="E300" s="250"/>
      <c r="F300" s="250"/>
      <c r="G300" s="250"/>
      <c r="H300" s="250"/>
      <c r="I300" s="250"/>
    </row>
    <row r="301">
      <c r="A301" s="250"/>
      <c r="B301" s="250"/>
      <c r="C301" s="250"/>
      <c r="D301" s="250"/>
      <c r="E301" s="250"/>
      <c r="F301" s="250"/>
      <c r="G301" s="250"/>
      <c r="H301" s="250"/>
      <c r="I301" s="250"/>
    </row>
    <row r="302">
      <c r="A302" s="250"/>
      <c r="B302" s="250"/>
      <c r="C302" s="250"/>
      <c r="D302" s="250"/>
      <c r="E302" s="250"/>
      <c r="F302" s="250"/>
      <c r="G302" s="250"/>
      <c r="H302" s="250"/>
      <c r="I302" s="250"/>
    </row>
    <row r="303">
      <c r="A303" s="250"/>
      <c r="B303" s="250"/>
      <c r="C303" s="250"/>
      <c r="D303" s="250"/>
      <c r="E303" s="250"/>
      <c r="F303" s="250"/>
      <c r="G303" s="250"/>
      <c r="H303" s="250"/>
      <c r="I303" s="250"/>
    </row>
    <row r="304">
      <c r="A304" s="250"/>
      <c r="B304" s="250"/>
      <c r="C304" s="250"/>
      <c r="D304" s="250"/>
      <c r="E304" s="250"/>
      <c r="F304" s="250"/>
      <c r="G304" s="250"/>
      <c r="H304" s="250"/>
      <c r="I304" s="250"/>
    </row>
    <row r="305">
      <c r="A305" s="250"/>
      <c r="B305" s="250"/>
      <c r="C305" s="250"/>
      <c r="D305" s="250"/>
      <c r="E305" s="250"/>
      <c r="F305" s="250"/>
      <c r="G305" s="250"/>
      <c r="H305" s="250"/>
      <c r="I305" s="250"/>
    </row>
    <row r="306">
      <c r="A306" s="250"/>
      <c r="B306" s="250"/>
      <c r="C306" s="250"/>
      <c r="D306" s="250"/>
      <c r="E306" s="250"/>
      <c r="F306" s="250"/>
      <c r="G306" s="250"/>
      <c r="H306" s="250"/>
      <c r="I306" s="250"/>
    </row>
    <row r="307">
      <c r="A307" s="250"/>
      <c r="B307" s="250"/>
      <c r="C307" s="250"/>
      <c r="D307" s="250"/>
      <c r="E307" s="250"/>
      <c r="F307" s="250"/>
      <c r="G307" s="250"/>
      <c r="H307" s="250"/>
      <c r="I307" s="250"/>
    </row>
    <row r="308">
      <c r="A308" s="250"/>
      <c r="B308" s="250"/>
      <c r="C308" s="250"/>
      <c r="D308" s="250"/>
      <c r="E308" s="250"/>
      <c r="F308" s="250"/>
      <c r="G308" s="250"/>
      <c r="H308" s="250"/>
      <c r="I308" s="250"/>
    </row>
    <row r="309">
      <c r="A309" s="250"/>
      <c r="B309" s="250"/>
      <c r="C309" s="250"/>
      <c r="D309" s="250"/>
      <c r="E309" s="250"/>
      <c r="F309" s="250"/>
      <c r="G309" s="250"/>
      <c r="H309" s="250"/>
      <c r="I309" s="250"/>
    </row>
    <row r="310">
      <c r="A310" s="250"/>
      <c r="B310" s="250"/>
      <c r="C310" s="250"/>
      <c r="D310" s="250"/>
      <c r="E310" s="250"/>
      <c r="F310" s="250"/>
      <c r="G310" s="250"/>
      <c r="H310" s="250"/>
      <c r="I310" s="250"/>
    </row>
    <row r="311">
      <c r="A311" s="250"/>
      <c r="B311" s="250"/>
      <c r="C311" s="250"/>
      <c r="D311" s="250"/>
      <c r="E311" s="250"/>
      <c r="F311" s="250"/>
      <c r="G311" s="250"/>
      <c r="H311" s="250"/>
      <c r="I311" s="250"/>
    </row>
    <row r="312">
      <c r="A312" s="250"/>
      <c r="B312" s="250"/>
      <c r="C312" s="250"/>
      <c r="D312" s="250"/>
      <c r="E312" s="250"/>
      <c r="F312" s="250"/>
      <c r="G312" s="250"/>
      <c r="H312" s="250"/>
      <c r="I312" s="250"/>
    </row>
    <row r="313">
      <c r="A313" s="250"/>
      <c r="B313" s="250"/>
      <c r="C313" s="250"/>
      <c r="D313" s="250"/>
      <c r="E313" s="250"/>
      <c r="F313" s="250"/>
      <c r="G313" s="250"/>
      <c r="H313" s="250"/>
      <c r="I313" s="250"/>
    </row>
    <row r="314">
      <c r="A314" s="250"/>
      <c r="B314" s="250"/>
      <c r="C314" s="250"/>
      <c r="D314" s="250"/>
      <c r="E314" s="250"/>
      <c r="F314" s="250"/>
      <c r="G314" s="250"/>
      <c r="H314" s="250"/>
      <c r="I314" s="250"/>
    </row>
    <row r="315">
      <c r="A315" s="250"/>
      <c r="B315" s="250"/>
      <c r="C315" s="250"/>
      <c r="D315" s="250"/>
      <c r="E315" s="250"/>
      <c r="F315" s="250"/>
      <c r="G315" s="250"/>
      <c r="H315" s="250"/>
      <c r="I315" s="250"/>
    </row>
    <row r="316">
      <c r="A316" s="250"/>
      <c r="B316" s="250"/>
      <c r="C316" s="250"/>
      <c r="D316" s="250"/>
      <c r="E316" s="250"/>
      <c r="F316" s="250"/>
      <c r="G316" s="250"/>
      <c r="H316" s="250"/>
      <c r="I316" s="250"/>
    </row>
    <row r="317">
      <c r="A317" s="250"/>
      <c r="B317" s="250"/>
      <c r="C317" s="250"/>
      <c r="D317" s="250"/>
      <c r="E317" s="250"/>
      <c r="F317" s="250"/>
      <c r="G317" s="250"/>
      <c r="H317" s="250"/>
      <c r="I317" s="250"/>
    </row>
    <row r="318">
      <c r="A318" s="250"/>
      <c r="B318" s="250"/>
      <c r="C318" s="250"/>
      <c r="D318" s="250"/>
      <c r="E318" s="250"/>
      <c r="F318" s="250"/>
      <c r="G318" s="250"/>
      <c r="H318" s="250"/>
      <c r="I318" s="250"/>
    </row>
    <row r="319">
      <c r="A319" s="250"/>
      <c r="B319" s="250"/>
      <c r="C319" s="250"/>
      <c r="D319" s="250"/>
      <c r="E319" s="250"/>
      <c r="F319" s="250"/>
      <c r="G319" s="250"/>
      <c r="H319" s="250"/>
      <c r="I319" s="250"/>
    </row>
    <row r="320">
      <c r="A320" s="250"/>
      <c r="B320" s="250"/>
      <c r="C320" s="250"/>
      <c r="D320" s="250"/>
      <c r="E320" s="250"/>
      <c r="F320" s="250"/>
      <c r="G320" s="250"/>
      <c r="H320" s="250"/>
      <c r="I320" s="250"/>
    </row>
    <row r="321">
      <c r="A321" s="250"/>
      <c r="B321" s="250"/>
      <c r="C321" s="250"/>
      <c r="D321" s="250"/>
      <c r="E321" s="250"/>
      <c r="F321" s="250"/>
      <c r="G321" s="250"/>
      <c r="H321" s="250"/>
      <c r="I321" s="250"/>
    </row>
    <row r="322">
      <c r="A322" s="250"/>
      <c r="B322" s="250"/>
      <c r="C322" s="250"/>
      <c r="D322" s="250"/>
      <c r="E322" s="250"/>
      <c r="F322" s="250"/>
      <c r="G322" s="250"/>
      <c r="H322" s="250"/>
      <c r="I322" s="250"/>
    </row>
    <row r="323">
      <c r="A323" s="250"/>
      <c r="B323" s="250"/>
      <c r="C323" s="250"/>
      <c r="D323" s="250"/>
      <c r="E323" s="250"/>
      <c r="F323" s="250"/>
      <c r="G323" s="250"/>
      <c r="H323" s="250"/>
      <c r="I323" s="250"/>
    </row>
    <row r="324">
      <c r="A324" s="250"/>
      <c r="B324" s="250"/>
      <c r="C324" s="250"/>
      <c r="D324" s="250"/>
      <c r="E324" s="250"/>
      <c r="F324" s="250"/>
      <c r="G324" s="250"/>
      <c r="H324" s="250"/>
      <c r="I324" s="250"/>
    </row>
    <row r="325">
      <c r="A325" s="250"/>
      <c r="B325" s="250"/>
      <c r="C325" s="250"/>
      <c r="D325" s="250"/>
      <c r="E325" s="250"/>
      <c r="F325" s="250"/>
      <c r="G325" s="250"/>
      <c r="H325" s="250"/>
      <c r="I325" s="250"/>
    </row>
    <row r="326">
      <c r="A326" s="250"/>
      <c r="B326" s="250"/>
      <c r="C326" s="250"/>
      <c r="D326" s="250"/>
      <c r="E326" s="250"/>
      <c r="F326" s="250"/>
      <c r="G326" s="250"/>
      <c r="H326" s="250"/>
      <c r="I326" s="250"/>
    </row>
    <row r="327">
      <c r="A327" s="250"/>
      <c r="B327" s="250"/>
      <c r="C327" s="250"/>
      <c r="D327" s="250"/>
      <c r="E327" s="250"/>
      <c r="F327" s="250"/>
      <c r="G327" s="250"/>
      <c r="H327" s="250"/>
      <c r="I327" s="250"/>
    </row>
    <row r="328">
      <c r="A328" s="250"/>
      <c r="B328" s="250"/>
      <c r="C328" s="250"/>
      <c r="D328" s="250"/>
      <c r="E328" s="250"/>
      <c r="F328" s="250"/>
      <c r="G328" s="250"/>
      <c r="H328" s="250"/>
      <c r="I328" s="250"/>
    </row>
    <row r="329">
      <c r="A329" s="250"/>
      <c r="B329" s="250"/>
      <c r="C329" s="250"/>
      <c r="D329" s="250"/>
      <c r="E329" s="250"/>
      <c r="F329" s="250"/>
      <c r="G329" s="250"/>
      <c r="H329" s="250"/>
      <c r="I329" s="250"/>
    </row>
    <row r="330">
      <c r="A330" s="250"/>
      <c r="B330" s="250"/>
      <c r="C330" s="250"/>
      <c r="D330" s="250"/>
      <c r="E330" s="250"/>
      <c r="F330" s="250"/>
      <c r="G330" s="250"/>
      <c r="H330" s="250"/>
      <c r="I330" s="250"/>
    </row>
    <row r="331">
      <c r="A331" s="250"/>
      <c r="B331" s="250"/>
      <c r="C331" s="250"/>
      <c r="D331" s="250"/>
      <c r="E331" s="250"/>
      <c r="F331" s="250"/>
      <c r="G331" s="250"/>
      <c r="H331" s="250"/>
      <c r="I331" s="250"/>
    </row>
    <row r="332">
      <c r="A332" s="250"/>
      <c r="B332" s="250"/>
      <c r="C332" s="250"/>
      <c r="D332" s="250"/>
      <c r="E332" s="250"/>
      <c r="F332" s="250"/>
      <c r="G332" s="250"/>
      <c r="H332" s="250"/>
      <c r="I332" s="250"/>
    </row>
    <row r="333">
      <c r="A333" s="250"/>
      <c r="B333" s="250"/>
      <c r="C333" s="250"/>
      <c r="D333" s="250"/>
      <c r="E333" s="250"/>
      <c r="F333" s="250"/>
      <c r="G333" s="250"/>
      <c r="H333" s="250"/>
      <c r="I333" s="250"/>
    </row>
    <row r="334">
      <c r="A334" s="250"/>
      <c r="B334" s="250"/>
      <c r="C334" s="250"/>
      <c r="D334" s="250"/>
      <c r="E334" s="250"/>
      <c r="F334" s="250"/>
      <c r="G334" s="250"/>
      <c r="H334" s="250"/>
      <c r="I334" s="250"/>
    </row>
    <row r="335">
      <c r="A335" s="250"/>
      <c r="B335" s="250"/>
      <c r="C335" s="250"/>
      <c r="D335" s="250"/>
      <c r="E335" s="250"/>
      <c r="F335" s="250"/>
      <c r="G335" s="250"/>
      <c r="H335" s="250"/>
      <c r="I335" s="250"/>
    </row>
    <row r="336">
      <c r="A336" s="250"/>
      <c r="B336" s="250"/>
      <c r="C336" s="250"/>
      <c r="D336" s="250"/>
      <c r="E336" s="250"/>
      <c r="F336" s="250"/>
      <c r="G336" s="250"/>
      <c r="H336" s="250"/>
      <c r="I336" s="250"/>
    </row>
    <row r="337">
      <c r="A337" s="250"/>
      <c r="B337" s="250"/>
      <c r="C337" s="250"/>
      <c r="D337" s="250"/>
      <c r="E337" s="250"/>
      <c r="F337" s="250"/>
      <c r="G337" s="250"/>
      <c r="H337" s="250"/>
      <c r="I337" s="250"/>
    </row>
    <row r="338">
      <c r="A338" s="250"/>
      <c r="B338" s="250"/>
      <c r="C338" s="250"/>
      <c r="D338" s="250"/>
      <c r="E338" s="250"/>
      <c r="F338" s="250"/>
      <c r="G338" s="250"/>
      <c r="H338" s="250"/>
      <c r="I338" s="250"/>
    </row>
    <row r="339">
      <c r="A339" s="250"/>
      <c r="B339" s="250"/>
      <c r="C339" s="250"/>
      <c r="D339" s="250"/>
      <c r="E339" s="250"/>
      <c r="F339" s="250"/>
      <c r="G339" s="250"/>
      <c r="H339" s="250"/>
      <c r="I339" s="250"/>
    </row>
    <row r="340">
      <c r="A340" s="250"/>
      <c r="B340" s="250"/>
      <c r="C340" s="250"/>
      <c r="D340" s="250"/>
      <c r="E340" s="250"/>
      <c r="F340" s="250"/>
      <c r="G340" s="250"/>
      <c r="H340" s="250"/>
      <c r="I340" s="250"/>
    </row>
    <row r="341">
      <c r="A341" s="250"/>
      <c r="B341" s="250"/>
      <c r="C341" s="250"/>
      <c r="D341" s="250"/>
      <c r="E341" s="250"/>
      <c r="F341" s="250"/>
      <c r="G341" s="250"/>
      <c r="H341" s="250"/>
      <c r="I341" s="250"/>
    </row>
    <row r="342">
      <c r="A342" s="250"/>
      <c r="B342" s="250"/>
      <c r="C342" s="250"/>
      <c r="D342" s="250"/>
      <c r="E342" s="250"/>
      <c r="F342" s="250"/>
      <c r="G342" s="250"/>
      <c r="H342" s="250"/>
      <c r="I342" s="250"/>
    </row>
    <row r="343">
      <c r="A343" s="250"/>
      <c r="B343" s="250"/>
      <c r="C343" s="250"/>
      <c r="D343" s="250"/>
      <c r="E343" s="250"/>
      <c r="F343" s="250"/>
      <c r="G343" s="250"/>
      <c r="H343" s="250"/>
      <c r="I343" s="250"/>
    </row>
    <row r="344">
      <c r="A344" s="250"/>
      <c r="B344" s="250"/>
      <c r="C344" s="250"/>
      <c r="D344" s="250"/>
      <c r="E344" s="250"/>
      <c r="F344" s="250"/>
      <c r="G344" s="250"/>
      <c r="H344" s="250"/>
      <c r="I344" s="250"/>
    </row>
    <row r="345">
      <c r="A345" s="250"/>
      <c r="B345" s="250"/>
      <c r="C345" s="250"/>
      <c r="D345" s="250"/>
      <c r="E345" s="250"/>
      <c r="F345" s="250"/>
      <c r="G345" s="250"/>
      <c r="H345" s="250"/>
      <c r="I345" s="250"/>
    </row>
    <row r="346">
      <c r="A346" s="250"/>
      <c r="B346" s="250"/>
      <c r="C346" s="250"/>
      <c r="D346" s="250"/>
      <c r="E346" s="250"/>
      <c r="F346" s="250"/>
      <c r="G346" s="250"/>
      <c r="H346" s="250"/>
      <c r="I346" s="250"/>
    </row>
    <row r="347">
      <c r="A347" s="250"/>
      <c r="B347" s="250"/>
      <c r="C347" s="250"/>
      <c r="D347" s="250"/>
      <c r="E347" s="250"/>
      <c r="F347" s="250"/>
      <c r="G347" s="250"/>
      <c r="H347" s="250"/>
      <c r="I347" s="250"/>
    </row>
    <row r="348">
      <c r="A348" s="250"/>
      <c r="B348" s="250"/>
      <c r="C348" s="250"/>
      <c r="D348" s="250"/>
      <c r="E348" s="250"/>
      <c r="F348" s="250"/>
      <c r="G348" s="250"/>
      <c r="H348" s="250"/>
      <c r="I348" s="250"/>
    </row>
    <row r="349">
      <c r="A349" s="250"/>
      <c r="B349" s="250"/>
      <c r="C349" s="250"/>
      <c r="D349" s="250"/>
      <c r="E349" s="250"/>
      <c r="F349" s="250"/>
      <c r="G349" s="250"/>
      <c r="H349" s="250"/>
      <c r="I349" s="250"/>
    </row>
    <row r="350">
      <c r="A350" s="250"/>
      <c r="B350" s="250"/>
      <c r="C350" s="250"/>
      <c r="D350" s="250"/>
      <c r="E350" s="250"/>
      <c r="F350" s="250"/>
      <c r="G350" s="250"/>
      <c r="H350" s="250"/>
      <c r="I350" s="250"/>
    </row>
    <row r="351">
      <c r="A351" s="250"/>
      <c r="B351" s="250"/>
      <c r="C351" s="250"/>
      <c r="D351" s="250"/>
      <c r="E351" s="250"/>
      <c r="F351" s="250"/>
      <c r="G351" s="250"/>
      <c r="H351" s="250"/>
      <c r="I351" s="250"/>
    </row>
    <row r="352">
      <c r="A352" s="250"/>
      <c r="B352" s="250"/>
      <c r="C352" s="250"/>
      <c r="D352" s="250"/>
      <c r="E352" s="250"/>
      <c r="F352" s="250"/>
      <c r="G352" s="250"/>
      <c r="H352" s="250"/>
      <c r="I352" s="250"/>
    </row>
    <row r="353">
      <c r="A353" s="250"/>
      <c r="B353" s="250"/>
      <c r="C353" s="250"/>
      <c r="D353" s="250"/>
      <c r="E353" s="250"/>
      <c r="F353" s="250"/>
      <c r="G353" s="250"/>
      <c r="H353" s="250"/>
      <c r="I353" s="250"/>
    </row>
    <row r="354">
      <c r="A354" s="250"/>
      <c r="B354" s="250"/>
      <c r="C354" s="250"/>
      <c r="D354" s="250"/>
      <c r="E354" s="250"/>
      <c r="F354" s="250"/>
      <c r="G354" s="250"/>
      <c r="H354" s="250"/>
      <c r="I354" s="250"/>
    </row>
    <row r="355">
      <c r="A355" s="250"/>
      <c r="B355" s="250"/>
      <c r="C355" s="250"/>
      <c r="D355" s="250"/>
      <c r="E355" s="250"/>
      <c r="F355" s="250"/>
      <c r="G355" s="250"/>
      <c r="H355" s="250"/>
      <c r="I355" s="250"/>
    </row>
    <row r="356">
      <c r="A356" s="250"/>
      <c r="B356" s="250"/>
      <c r="C356" s="250"/>
      <c r="D356" s="250"/>
      <c r="E356" s="250"/>
      <c r="F356" s="250"/>
      <c r="G356" s="250"/>
      <c r="H356" s="250"/>
      <c r="I356" s="250"/>
    </row>
    <row r="357">
      <c r="A357" s="250"/>
      <c r="B357" s="250"/>
      <c r="C357" s="250"/>
      <c r="D357" s="250"/>
      <c r="E357" s="250"/>
      <c r="F357" s="250"/>
      <c r="G357" s="250"/>
      <c r="H357" s="250"/>
      <c r="I357" s="250"/>
    </row>
    <row r="358">
      <c r="A358" s="250"/>
      <c r="B358" s="250"/>
      <c r="C358" s="250"/>
      <c r="D358" s="250"/>
      <c r="E358" s="250"/>
      <c r="F358" s="250"/>
      <c r="G358" s="250"/>
      <c r="H358" s="250"/>
      <c r="I358" s="250"/>
    </row>
    <row r="359">
      <c r="A359" s="250"/>
      <c r="B359" s="250"/>
      <c r="C359" s="250"/>
      <c r="D359" s="250"/>
      <c r="E359" s="250"/>
      <c r="F359" s="250"/>
      <c r="G359" s="250"/>
      <c r="H359" s="250"/>
      <c r="I359" s="250"/>
    </row>
    <row r="360">
      <c r="A360" s="250"/>
      <c r="B360" s="250"/>
      <c r="C360" s="250"/>
      <c r="D360" s="250"/>
      <c r="E360" s="250"/>
      <c r="F360" s="250"/>
      <c r="G360" s="250"/>
      <c r="H360" s="250"/>
      <c r="I360" s="250"/>
    </row>
    <row r="361">
      <c r="A361" s="250"/>
      <c r="B361" s="250"/>
      <c r="C361" s="250"/>
      <c r="D361" s="250"/>
      <c r="E361" s="250"/>
      <c r="F361" s="250"/>
      <c r="G361" s="250"/>
      <c r="H361" s="250"/>
      <c r="I361" s="250"/>
    </row>
    <row r="362">
      <c r="A362" s="250"/>
      <c r="B362" s="250"/>
      <c r="C362" s="250"/>
      <c r="D362" s="250"/>
      <c r="E362" s="250"/>
      <c r="F362" s="250"/>
      <c r="G362" s="250"/>
      <c r="H362" s="250"/>
      <c r="I362" s="250"/>
    </row>
    <row r="363">
      <c r="A363" s="250"/>
      <c r="B363" s="250"/>
      <c r="C363" s="250"/>
      <c r="D363" s="250"/>
      <c r="E363" s="250"/>
      <c r="F363" s="250"/>
      <c r="G363" s="250"/>
      <c r="H363" s="250"/>
      <c r="I363" s="250"/>
    </row>
    <row r="364">
      <c r="A364" s="250"/>
      <c r="B364" s="250"/>
      <c r="C364" s="250"/>
      <c r="D364" s="250"/>
      <c r="E364" s="250"/>
      <c r="F364" s="250"/>
      <c r="G364" s="250"/>
      <c r="H364" s="250"/>
      <c r="I364" s="250"/>
    </row>
    <row r="365">
      <c r="A365" s="250"/>
      <c r="B365" s="250"/>
      <c r="C365" s="250"/>
      <c r="D365" s="250"/>
      <c r="E365" s="250"/>
      <c r="F365" s="250"/>
      <c r="G365" s="250"/>
      <c r="H365" s="250"/>
      <c r="I365" s="250"/>
    </row>
    <row r="366">
      <c r="A366" s="250"/>
      <c r="B366" s="250"/>
      <c r="C366" s="250"/>
      <c r="D366" s="250"/>
      <c r="E366" s="250"/>
      <c r="F366" s="250"/>
      <c r="G366" s="250"/>
      <c r="H366" s="250"/>
      <c r="I366" s="250"/>
    </row>
    <row r="367">
      <c r="A367" s="250"/>
      <c r="B367" s="250"/>
      <c r="C367" s="250"/>
      <c r="D367" s="250"/>
      <c r="E367" s="250"/>
      <c r="F367" s="250"/>
      <c r="G367" s="250"/>
      <c r="H367" s="250"/>
      <c r="I367" s="250"/>
    </row>
    <row r="368">
      <c r="A368" s="250"/>
      <c r="B368" s="250"/>
      <c r="C368" s="250"/>
      <c r="D368" s="250"/>
      <c r="E368" s="250"/>
      <c r="F368" s="250"/>
      <c r="G368" s="250"/>
      <c r="H368" s="250"/>
      <c r="I368" s="250"/>
    </row>
    <row r="369">
      <c r="A369" s="250"/>
      <c r="B369" s="250"/>
      <c r="C369" s="250"/>
      <c r="D369" s="250"/>
      <c r="E369" s="250"/>
      <c r="F369" s="250"/>
      <c r="G369" s="250"/>
      <c r="H369" s="250"/>
      <c r="I369" s="250"/>
    </row>
    <row r="370">
      <c r="A370" s="250"/>
      <c r="B370" s="250"/>
      <c r="C370" s="250"/>
      <c r="D370" s="250"/>
      <c r="E370" s="250"/>
      <c r="F370" s="250"/>
      <c r="G370" s="250"/>
      <c r="H370" s="250"/>
      <c r="I370" s="250"/>
    </row>
    <row r="371">
      <c r="A371" s="250"/>
      <c r="B371" s="250"/>
      <c r="C371" s="250"/>
      <c r="D371" s="250"/>
      <c r="E371" s="250"/>
      <c r="F371" s="250"/>
      <c r="G371" s="250"/>
      <c r="H371" s="250"/>
      <c r="I371" s="250"/>
    </row>
    <row r="372">
      <c r="A372" s="250"/>
      <c r="B372" s="250"/>
      <c r="C372" s="250"/>
      <c r="D372" s="250"/>
      <c r="E372" s="250"/>
      <c r="F372" s="250"/>
      <c r="G372" s="250"/>
      <c r="H372" s="250"/>
      <c r="I372" s="250"/>
    </row>
    <row r="373">
      <c r="A373" s="250"/>
      <c r="B373" s="250"/>
      <c r="C373" s="250"/>
      <c r="D373" s="250"/>
      <c r="E373" s="250"/>
      <c r="F373" s="250"/>
      <c r="G373" s="250"/>
      <c r="H373" s="250"/>
      <c r="I373" s="250"/>
    </row>
    <row r="374">
      <c r="A374" s="250"/>
      <c r="B374" s="250"/>
      <c r="C374" s="250"/>
      <c r="D374" s="250"/>
      <c r="E374" s="250"/>
      <c r="F374" s="250"/>
      <c r="G374" s="250"/>
      <c r="H374" s="250"/>
      <c r="I374" s="250"/>
    </row>
    <row r="375">
      <c r="A375" s="250"/>
      <c r="B375" s="250"/>
      <c r="C375" s="250"/>
      <c r="D375" s="250"/>
      <c r="E375" s="250"/>
      <c r="F375" s="250"/>
      <c r="G375" s="250"/>
      <c r="H375" s="250"/>
      <c r="I375" s="250"/>
    </row>
    <row r="376">
      <c r="A376" s="250"/>
      <c r="B376" s="250"/>
      <c r="C376" s="250"/>
      <c r="D376" s="250"/>
      <c r="E376" s="250"/>
      <c r="F376" s="250"/>
      <c r="G376" s="250"/>
      <c r="H376" s="250"/>
      <c r="I376" s="250"/>
    </row>
    <row r="377">
      <c r="A377" s="250"/>
      <c r="B377" s="250"/>
      <c r="C377" s="250"/>
      <c r="D377" s="250"/>
      <c r="E377" s="250"/>
      <c r="F377" s="250"/>
      <c r="G377" s="250"/>
      <c r="H377" s="250"/>
      <c r="I377" s="250"/>
    </row>
    <row r="378">
      <c r="A378" s="250"/>
      <c r="B378" s="250"/>
      <c r="C378" s="250"/>
      <c r="D378" s="250"/>
      <c r="E378" s="250"/>
      <c r="F378" s="250"/>
      <c r="G378" s="250"/>
      <c r="H378" s="250"/>
      <c r="I378" s="250"/>
    </row>
    <row r="379">
      <c r="A379" s="250"/>
      <c r="B379" s="250"/>
      <c r="C379" s="250"/>
      <c r="D379" s="250"/>
      <c r="E379" s="250"/>
      <c r="F379" s="250"/>
      <c r="G379" s="250"/>
      <c r="H379" s="250"/>
      <c r="I379" s="250"/>
    </row>
    <row r="380">
      <c r="A380" s="250"/>
      <c r="B380" s="250"/>
      <c r="C380" s="250"/>
      <c r="D380" s="250"/>
      <c r="E380" s="250"/>
      <c r="F380" s="250"/>
      <c r="G380" s="250"/>
      <c r="H380" s="250"/>
      <c r="I380" s="250"/>
    </row>
    <row r="381">
      <c r="A381" s="250"/>
      <c r="B381" s="250"/>
      <c r="C381" s="250"/>
      <c r="D381" s="250"/>
      <c r="E381" s="250"/>
      <c r="F381" s="250"/>
      <c r="G381" s="250"/>
      <c r="H381" s="250"/>
      <c r="I381" s="250"/>
    </row>
    <row r="382">
      <c r="A382" s="250"/>
      <c r="B382" s="250"/>
      <c r="C382" s="250"/>
      <c r="D382" s="250"/>
      <c r="E382" s="250"/>
      <c r="F382" s="250"/>
      <c r="G382" s="250"/>
      <c r="H382" s="250"/>
      <c r="I382" s="250"/>
    </row>
    <row r="383">
      <c r="A383" s="250"/>
      <c r="B383" s="250"/>
      <c r="C383" s="250"/>
      <c r="D383" s="250"/>
      <c r="E383" s="250"/>
      <c r="F383" s="250"/>
      <c r="G383" s="250"/>
      <c r="H383" s="250"/>
      <c r="I383" s="250"/>
    </row>
    <row r="384">
      <c r="A384" s="250"/>
      <c r="B384" s="250"/>
      <c r="C384" s="250"/>
      <c r="D384" s="250"/>
      <c r="E384" s="250"/>
      <c r="F384" s="250"/>
      <c r="G384" s="250"/>
      <c r="H384" s="250"/>
      <c r="I384" s="250"/>
    </row>
    <row r="385">
      <c r="A385" s="250"/>
      <c r="B385" s="250"/>
      <c r="C385" s="250"/>
      <c r="D385" s="250"/>
      <c r="E385" s="250"/>
      <c r="F385" s="250"/>
      <c r="G385" s="250"/>
      <c r="H385" s="250"/>
      <c r="I385" s="250"/>
    </row>
    <row r="386">
      <c r="A386" s="250"/>
      <c r="B386" s="250"/>
      <c r="C386" s="250"/>
      <c r="D386" s="250"/>
      <c r="E386" s="250"/>
      <c r="F386" s="250"/>
      <c r="G386" s="250"/>
      <c r="H386" s="250"/>
      <c r="I386" s="250"/>
    </row>
    <row r="387">
      <c r="A387" s="250"/>
      <c r="B387" s="250"/>
      <c r="C387" s="250"/>
      <c r="D387" s="250"/>
      <c r="E387" s="250"/>
      <c r="F387" s="250"/>
      <c r="G387" s="250"/>
      <c r="H387" s="250"/>
      <c r="I387" s="250"/>
    </row>
    <row r="388">
      <c r="A388" s="250"/>
      <c r="B388" s="250"/>
      <c r="C388" s="250"/>
      <c r="D388" s="250"/>
      <c r="E388" s="250"/>
      <c r="F388" s="250"/>
      <c r="G388" s="250"/>
      <c r="H388" s="250"/>
      <c r="I388" s="250"/>
    </row>
    <row r="389">
      <c r="A389" s="250"/>
      <c r="B389" s="250"/>
      <c r="C389" s="250"/>
      <c r="D389" s="250"/>
      <c r="E389" s="250"/>
      <c r="F389" s="250"/>
      <c r="G389" s="250"/>
      <c r="H389" s="250"/>
      <c r="I389" s="250"/>
    </row>
    <row r="390">
      <c r="A390" s="250"/>
      <c r="B390" s="250"/>
      <c r="C390" s="250"/>
      <c r="D390" s="250"/>
      <c r="E390" s="250"/>
      <c r="F390" s="250"/>
      <c r="G390" s="250"/>
      <c r="H390" s="250"/>
      <c r="I390" s="250"/>
    </row>
    <row r="391">
      <c r="A391" s="250"/>
      <c r="B391" s="250"/>
      <c r="C391" s="250"/>
      <c r="D391" s="250"/>
      <c r="E391" s="250"/>
      <c r="F391" s="250"/>
      <c r="G391" s="250"/>
      <c r="H391" s="250"/>
      <c r="I391" s="250"/>
    </row>
    <row r="392">
      <c r="A392" s="250"/>
      <c r="B392" s="250"/>
      <c r="C392" s="250"/>
      <c r="D392" s="250"/>
      <c r="E392" s="250"/>
      <c r="F392" s="250"/>
      <c r="G392" s="250"/>
      <c r="H392" s="250"/>
      <c r="I392" s="250"/>
    </row>
    <row r="393">
      <c r="A393" s="250"/>
      <c r="B393" s="250"/>
      <c r="C393" s="250"/>
      <c r="D393" s="250"/>
      <c r="E393" s="250"/>
      <c r="F393" s="250"/>
      <c r="G393" s="250"/>
      <c r="H393" s="250"/>
      <c r="I393" s="250"/>
    </row>
    <row r="394">
      <c r="A394" s="250"/>
      <c r="B394" s="250"/>
      <c r="C394" s="250"/>
      <c r="D394" s="250"/>
      <c r="E394" s="250"/>
      <c r="F394" s="250"/>
      <c r="G394" s="250"/>
      <c r="H394" s="250"/>
      <c r="I394" s="250"/>
    </row>
    <row r="395">
      <c r="A395" s="250"/>
      <c r="B395" s="250"/>
      <c r="C395" s="250"/>
      <c r="D395" s="250"/>
      <c r="E395" s="250"/>
      <c r="F395" s="250"/>
      <c r="G395" s="250"/>
      <c r="H395" s="250"/>
      <c r="I395" s="250"/>
    </row>
    <row r="396">
      <c r="A396" s="250"/>
      <c r="B396" s="250"/>
      <c r="C396" s="250"/>
      <c r="D396" s="250"/>
      <c r="E396" s="250"/>
      <c r="F396" s="250"/>
      <c r="G396" s="250"/>
      <c r="H396" s="250"/>
      <c r="I396" s="250"/>
    </row>
    <row r="397">
      <c r="A397" s="250"/>
      <c r="B397" s="250"/>
      <c r="C397" s="250"/>
      <c r="D397" s="250"/>
      <c r="E397" s="250"/>
      <c r="F397" s="250"/>
      <c r="G397" s="250"/>
      <c r="H397" s="250"/>
      <c r="I397" s="250"/>
    </row>
    <row r="398">
      <c r="A398" s="250"/>
      <c r="B398" s="250"/>
      <c r="C398" s="250"/>
      <c r="D398" s="250"/>
      <c r="E398" s="250"/>
      <c r="F398" s="250"/>
      <c r="G398" s="250"/>
      <c r="H398" s="250"/>
      <c r="I398" s="250"/>
    </row>
    <row r="399">
      <c r="A399" s="250"/>
      <c r="B399" s="250"/>
      <c r="C399" s="250"/>
      <c r="D399" s="250"/>
      <c r="E399" s="250"/>
      <c r="F399" s="250"/>
      <c r="G399" s="250"/>
      <c r="H399" s="250"/>
      <c r="I399" s="250"/>
    </row>
    <row r="400">
      <c r="A400" s="250"/>
      <c r="B400" s="250"/>
      <c r="C400" s="250"/>
      <c r="D400" s="250"/>
      <c r="E400" s="250"/>
      <c r="F400" s="250"/>
      <c r="G400" s="250"/>
      <c r="H400" s="250"/>
      <c r="I400" s="250"/>
    </row>
    <row r="401">
      <c r="A401" s="250"/>
      <c r="B401" s="250"/>
      <c r="C401" s="250"/>
      <c r="D401" s="250"/>
      <c r="E401" s="250"/>
      <c r="F401" s="250"/>
      <c r="G401" s="250"/>
      <c r="H401" s="250"/>
      <c r="I401" s="250"/>
    </row>
    <row r="402">
      <c r="A402" s="250"/>
      <c r="B402" s="250"/>
      <c r="C402" s="250"/>
      <c r="D402" s="250"/>
      <c r="E402" s="250"/>
      <c r="F402" s="250"/>
      <c r="G402" s="250"/>
      <c r="H402" s="250"/>
      <c r="I402" s="250"/>
    </row>
    <row r="403">
      <c r="A403" s="250"/>
      <c r="B403" s="250"/>
      <c r="C403" s="250"/>
      <c r="D403" s="250"/>
      <c r="E403" s="250"/>
      <c r="F403" s="250"/>
      <c r="G403" s="250"/>
      <c r="H403" s="250"/>
      <c r="I403" s="250"/>
    </row>
    <row r="404">
      <c r="A404" s="250"/>
      <c r="B404" s="250"/>
      <c r="C404" s="250"/>
      <c r="D404" s="250"/>
      <c r="E404" s="250"/>
      <c r="F404" s="250"/>
      <c r="G404" s="250"/>
      <c r="H404" s="250"/>
      <c r="I404" s="250"/>
    </row>
    <row r="405">
      <c r="A405" s="250"/>
      <c r="B405" s="250"/>
      <c r="C405" s="250"/>
      <c r="D405" s="250"/>
      <c r="E405" s="250"/>
      <c r="F405" s="250"/>
      <c r="G405" s="250"/>
      <c r="H405" s="250"/>
      <c r="I405" s="250"/>
    </row>
    <row r="406">
      <c r="A406" s="250"/>
      <c r="B406" s="250"/>
      <c r="C406" s="250"/>
      <c r="D406" s="250"/>
      <c r="E406" s="250"/>
      <c r="F406" s="250"/>
      <c r="G406" s="250"/>
      <c r="H406" s="250"/>
      <c r="I406" s="250"/>
    </row>
    <row r="407">
      <c r="A407" s="250"/>
      <c r="B407" s="250"/>
      <c r="C407" s="250"/>
      <c r="D407" s="250"/>
      <c r="E407" s="250"/>
      <c r="F407" s="250"/>
      <c r="G407" s="250"/>
      <c r="H407" s="250"/>
      <c r="I407" s="250"/>
    </row>
    <row r="408">
      <c r="A408" s="250"/>
      <c r="B408" s="250"/>
      <c r="C408" s="250"/>
      <c r="D408" s="250"/>
      <c r="E408" s="250"/>
      <c r="F408" s="250"/>
      <c r="G408" s="250"/>
      <c r="H408" s="250"/>
      <c r="I408" s="250"/>
    </row>
    <row r="409">
      <c r="A409" s="250"/>
      <c r="B409" s="250"/>
      <c r="C409" s="250"/>
      <c r="D409" s="250"/>
      <c r="E409" s="250"/>
      <c r="F409" s="250"/>
      <c r="G409" s="250"/>
      <c r="H409" s="250"/>
      <c r="I409" s="250"/>
    </row>
    <row r="410">
      <c r="A410" s="250"/>
      <c r="B410" s="250"/>
      <c r="C410" s="250"/>
      <c r="D410" s="250"/>
      <c r="E410" s="250"/>
      <c r="F410" s="250"/>
      <c r="G410" s="250"/>
      <c r="H410" s="250"/>
      <c r="I410" s="250"/>
    </row>
    <row r="411">
      <c r="A411" s="250"/>
      <c r="B411" s="250"/>
      <c r="C411" s="250"/>
      <c r="D411" s="250"/>
      <c r="E411" s="250"/>
      <c r="F411" s="250"/>
      <c r="G411" s="250"/>
      <c r="H411" s="250"/>
      <c r="I411" s="250"/>
    </row>
    <row r="412">
      <c r="A412" s="250"/>
      <c r="B412" s="250"/>
      <c r="C412" s="250"/>
      <c r="D412" s="250"/>
      <c r="E412" s="250"/>
      <c r="F412" s="250"/>
      <c r="G412" s="250"/>
      <c r="H412" s="250"/>
      <c r="I412" s="250"/>
    </row>
    <row r="413">
      <c r="A413" s="250"/>
      <c r="B413" s="250"/>
      <c r="C413" s="250"/>
      <c r="D413" s="250"/>
      <c r="E413" s="250"/>
      <c r="F413" s="250"/>
      <c r="G413" s="250"/>
      <c r="H413" s="250"/>
      <c r="I413" s="250"/>
    </row>
    <row r="414">
      <c r="A414" s="250"/>
      <c r="B414" s="250"/>
      <c r="C414" s="250"/>
      <c r="D414" s="250"/>
      <c r="E414" s="250"/>
      <c r="F414" s="250"/>
      <c r="G414" s="250"/>
      <c r="H414" s="250"/>
      <c r="I414" s="250"/>
    </row>
    <row r="415">
      <c r="A415" s="250"/>
      <c r="B415" s="250"/>
      <c r="C415" s="250"/>
      <c r="D415" s="250"/>
      <c r="E415" s="250"/>
      <c r="F415" s="250"/>
      <c r="G415" s="250"/>
      <c r="H415" s="250"/>
      <c r="I415" s="250"/>
    </row>
    <row r="416">
      <c r="A416" s="250"/>
      <c r="B416" s="250"/>
      <c r="C416" s="250"/>
      <c r="D416" s="250"/>
      <c r="E416" s="250"/>
      <c r="F416" s="250"/>
      <c r="G416" s="250"/>
      <c r="H416" s="250"/>
      <c r="I416" s="250"/>
    </row>
    <row r="417">
      <c r="A417" s="250"/>
      <c r="B417" s="250"/>
      <c r="C417" s="250"/>
      <c r="D417" s="250"/>
      <c r="E417" s="250"/>
      <c r="F417" s="250"/>
      <c r="G417" s="250"/>
      <c r="H417" s="250"/>
      <c r="I417" s="250"/>
    </row>
    <row r="418">
      <c r="A418" s="250"/>
      <c r="B418" s="250"/>
      <c r="C418" s="250"/>
      <c r="D418" s="250"/>
      <c r="E418" s="250"/>
      <c r="F418" s="250"/>
      <c r="G418" s="250"/>
      <c r="H418" s="250"/>
      <c r="I418" s="250"/>
    </row>
    <row r="419">
      <c r="A419" s="250"/>
      <c r="B419" s="250"/>
      <c r="C419" s="250"/>
      <c r="D419" s="250"/>
      <c r="E419" s="250"/>
      <c r="F419" s="250"/>
      <c r="G419" s="250"/>
      <c r="H419" s="250"/>
      <c r="I419" s="250"/>
    </row>
    <row r="420">
      <c r="A420" s="250"/>
      <c r="B420" s="250"/>
      <c r="C420" s="250"/>
      <c r="D420" s="250"/>
      <c r="E420" s="250"/>
      <c r="F420" s="250"/>
      <c r="G420" s="250"/>
      <c r="H420" s="250"/>
      <c r="I420" s="250"/>
    </row>
    <row r="421">
      <c r="A421" s="250"/>
      <c r="B421" s="250"/>
      <c r="C421" s="250"/>
      <c r="D421" s="250"/>
      <c r="E421" s="250"/>
      <c r="F421" s="250"/>
      <c r="G421" s="250"/>
      <c r="H421" s="250"/>
      <c r="I421" s="250"/>
    </row>
    <row r="422">
      <c r="A422" s="250"/>
      <c r="B422" s="250"/>
      <c r="C422" s="250"/>
      <c r="D422" s="250"/>
      <c r="E422" s="250"/>
      <c r="F422" s="250"/>
      <c r="G422" s="250"/>
      <c r="H422" s="250"/>
      <c r="I422" s="250"/>
    </row>
    <row r="423">
      <c r="A423" s="250"/>
      <c r="B423" s="250"/>
      <c r="C423" s="250"/>
      <c r="D423" s="250"/>
      <c r="E423" s="250"/>
      <c r="F423" s="250"/>
      <c r="G423" s="250"/>
      <c r="H423" s="250"/>
      <c r="I423" s="250"/>
    </row>
    <row r="424">
      <c r="A424" s="250"/>
      <c r="B424" s="250"/>
      <c r="C424" s="250"/>
      <c r="D424" s="250"/>
      <c r="E424" s="250"/>
      <c r="F424" s="250"/>
      <c r="G424" s="250"/>
      <c r="H424" s="250"/>
      <c r="I424" s="250"/>
    </row>
    <row r="425">
      <c r="A425" s="250"/>
      <c r="B425" s="250"/>
      <c r="C425" s="250"/>
      <c r="D425" s="250"/>
      <c r="E425" s="250"/>
      <c r="F425" s="250"/>
      <c r="G425" s="250"/>
      <c r="H425" s="250"/>
      <c r="I425" s="250"/>
    </row>
    <row r="426">
      <c r="A426" s="250"/>
      <c r="B426" s="250"/>
      <c r="C426" s="250"/>
      <c r="D426" s="250"/>
      <c r="E426" s="250"/>
      <c r="F426" s="250"/>
      <c r="G426" s="250"/>
      <c r="H426" s="250"/>
      <c r="I426" s="250"/>
    </row>
    <row r="427">
      <c r="A427" s="250"/>
      <c r="B427" s="250"/>
      <c r="C427" s="250"/>
      <c r="D427" s="250"/>
      <c r="E427" s="250"/>
      <c r="F427" s="250"/>
      <c r="G427" s="250"/>
      <c r="H427" s="250"/>
      <c r="I427" s="250"/>
    </row>
    <row r="428">
      <c r="A428" s="250"/>
      <c r="B428" s="250"/>
      <c r="C428" s="250"/>
      <c r="D428" s="250"/>
      <c r="E428" s="250"/>
      <c r="F428" s="250"/>
      <c r="G428" s="250"/>
      <c r="H428" s="250"/>
      <c r="I428" s="250"/>
    </row>
    <row r="429">
      <c r="A429" s="250"/>
      <c r="B429" s="250"/>
      <c r="C429" s="250"/>
      <c r="D429" s="250"/>
      <c r="E429" s="250"/>
      <c r="F429" s="250"/>
      <c r="G429" s="250"/>
      <c r="H429" s="250"/>
      <c r="I429" s="250"/>
    </row>
    <row r="430">
      <c r="A430" s="250"/>
      <c r="B430" s="250"/>
      <c r="C430" s="250"/>
      <c r="D430" s="250"/>
      <c r="E430" s="250"/>
      <c r="F430" s="250"/>
      <c r="G430" s="250"/>
      <c r="H430" s="250"/>
      <c r="I430" s="250"/>
    </row>
    <row r="431">
      <c r="A431" s="250"/>
      <c r="B431" s="250"/>
      <c r="C431" s="250"/>
      <c r="D431" s="250"/>
      <c r="E431" s="250"/>
      <c r="F431" s="250"/>
      <c r="G431" s="250"/>
      <c r="H431" s="250"/>
      <c r="I431" s="250"/>
    </row>
    <row r="432">
      <c r="A432" s="250"/>
      <c r="B432" s="250"/>
      <c r="C432" s="250"/>
      <c r="D432" s="250"/>
      <c r="E432" s="250"/>
      <c r="F432" s="250"/>
      <c r="G432" s="250"/>
      <c r="H432" s="250"/>
      <c r="I432" s="250"/>
    </row>
    <row r="433">
      <c r="A433" s="250"/>
      <c r="B433" s="250"/>
      <c r="C433" s="250"/>
      <c r="D433" s="250"/>
      <c r="E433" s="250"/>
      <c r="F433" s="250"/>
      <c r="G433" s="250"/>
      <c r="H433" s="250"/>
      <c r="I433" s="250"/>
    </row>
    <row r="434">
      <c r="A434" s="250"/>
      <c r="B434" s="250"/>
      <c r="C434" s="250"/>
      <c r="D434" s="250"/>
      <c r="E434" s="250"/>
      <c r="F434" s="250"/>
      <c r="G434" s="250"/>
      <c r="H434" s="250"/>
      <c r="I434" s="250"/>
    </row>
    <row r="435">
      <c r="A435" s="250"/>
      <c r="B435" s="250"/>
      <c r="C435" s="250"/>
      <c r="D435" s="250"/>
      <c r="E435" s="250"/>
      <c r="F435" s="250"/>
      <c r="G435" s="250"/>
      <c r="H435" s="250"/>
      <c r="I435" s="250"/>
    </row>
    <row r="436">
      <c r="A436" s="250"/>
      <c r="B436" s="250"/>
      <c r="C436" s="250"/>
      <c r="D436" s="250"/>
      <c r="E436" s="250"/>
      <c r="F436" s="250"/>
      <c r="G436" s="250"/>
      <c r="H436" s="250"/>
      <c r="I436" s="250"/>
    </row>
    <row r="437">
      <c r="A437" s="250"/>
      <c r="B437" s="250"/>
      <c r="C437" s="250"/>
      <c r="D437" s="250"/>
      <c r="E437" s="250"/>
      <c r="F437" s="250"/>
      <c r="G437" s="250"/>
      <c r="H437" s="250"/>
      <c r="I437" s="250"/>
    </row>
    <row r="438">
      <c r="A438" s="250"/>
      <c r="B438" s="250"/>
      <c r="C438" s="250"/>
      <c r="D438" s="250"/>
      <c r="E438" s="250"/>
      <c r="F438" s="250"/>
      <c r="G438" s="250"/>
      <c r="H438" s="250"/>
      <c r="I438" s="250"/>
    </row>
    <row r="439">
      <c r="A439" s="250"/>
      <c r="B439" s="250"/>
      <c r="C439" s="250"/>
      <c r="D439" s="250"/>
      <c r="E439" s="250"/>
      <c r="F439" s="250"/>
      <c r="G439" s="250"/>
      <c r="H439" s="250"/>
      <c r="I439" s="250"/>
    </row>
    <row r="440">
      <c r="A440" s="250"/>
      <c r="B440" s="250"/>
      <c r="C440" s="250"/>
      <c r="D440" s="250"/>
      <c r="E440" s="250"/>
      <c r="F440" s="250"/>
      <c r="G440" s="250"/>
      <c r="H440" s="250"/>
      <c r="I440" s="250"/>
    </row>
    <row r="441">
      <c r="A441" s="250"/>
      <c r="B441" s="250"/>
      <c r="C441" s="250"/>
      <c r="D441" s="250"/>
      <c r="E441" s="250"/>
      <c r="F441" s="250"/>
      <c r="G441" s="250"/>
      <c r="H441" s="250"/>
      <c r="I441" s="250"/>
    </row>
    <row r="442">
      <c r="A442" s="250"/>
      <c r="B442" s="250"/>
      <c r="C442" s="250"/>
      <c r="D442" s="250"/>
      <c r="E442" s="250"/>
      <c r="F442" s="250"/>
      <c r="G442" s="250"/>
      <c r="H442" s="250"/>
      <c r="I442" s="250"/>
    </row>
    <row r="443">
      <c r="A443" s="250"/>
      <c r="B443" s="250"/>
      <c r="C443" s="250"/>
      <c r="D443" s="250"/>
      <c r="E443" s="250"/>
      <c r="F443" s="250"/>
      <c r="G443" s="250"/>
      <c r="H443" s="250"/>
      <c r="I443" s="250"/>
    </row>
    <row r="444">
      <c r="A444" s="250"/>
      <c r="B444" s="250"/>
      <c r="C444" s="250"/>
      <c r="D444" s="250"/>
      <c r="E444" s="250"/>
      <c r="F444" s="250"/>
      <c r="G444" s="250"/>
      <c r="H444" s="250"/>
      <c r="I444" s="250"/>
    </row>
    <row r="445">
      <c r="A445" s="250"/>
      <c r="B445" s="250"/>
      <c r="C445" s="250"/>
      <c r="D445" s="250"/>
      <c r="E445" s="250"/>
      <c r="F445" s="250"/>
      <c r="G445" s="250"/>
      <c r="H445" s="250"/>
      <c r="I445" s="250"/>
    </row>
    <row r="446">
      <c r="A446" s="250"/>
      <c r="B446" s="250"/>
      <c r="C446" s="250"/>
      <c r="D446" s="250"/>
      <c r="E446" s="250"/>
      <c r="F446" s="250"/>
      <c r="G446" s="250"/>
      <c r="H446" s="250"/>
      <c r="I446" s="250"/>
    </row>
    <row r="447">
      <c r="A447" s="250"/>
      <c r="B447" s="250"/>
      <c r="C447" s="250"/>
      <c r="D447" s="250"/>
      <c r="E447" s="250"/>
      <c r="F447" s="250"/>
      <c r="G447" s="250"/>
      <c r="H447" s="250"/>
      <c r="I447" s="250"/>
    </row>
    <row r="448">
      <c r="A448" s="250"/>
      <c r="B448" s="250"/>
      <c r="C448" s="250"/>
      <c r="D448" s="250"/>
      <c r="E448" s="250"/>
      <c r="F448" s="250"/>
      <c r="G448" s="250"/>
      <c r="H448" s="250"/>
      <c r="I448" s="250"/>
    </row>
    <row r="449">
      <c r="A449" s="250"/>
      <c r="B449" s="250"/>
      <c r="C449" s="250"/>
      <c r="D449" s="250"/>
      <c r="E449" s="250"/>
      <c r="F449" s="250"/>
      <c r="G449" s="250"/>
      <c r="H449" s="250"/>
      <c r="I449" s="250"/>
    </row>
    <row r="450">
      <c r="A450" s="250"/>
      <c r="B450" s="250"/>
      <c r="C450" s="250"/>
      <c r="D450" s="250"/>
      <c r="E450" s="250"/>
      <c r="F450" s="250"/>
      <c r="G450" s="250"/>
      <c r="H450" s="250"/>
      <c r="I450" s="250"/>
    </row>
    <row r="451">
      <c r="A451" s="250"/>
      <c r="B451" s="250"/>
      <c r="C451" s="250"/>
      <c r="D451" s="250"/>
      <c r="E451" s="250"/>
      <c r="F451" s="250"/>
      <c r="G451" s="250"/>
      <c r="H451" s="250"/>
      <c r="I451" s="250"/>
    </row>
    <row r="452">
      <c r="A452" s="250"/>
      <c r="B452" s="250"/>
      <c r="C452" s="250"/>
      <c r="D452" s="250"/>
      <c r="E452" s="250"/>
      <c r="F452" s="250"/>
      <c r="G452" s="250"/>
      <c r="H452" s="250"/>
      <c r="I452" s="250"/>
    </row>
    <row r="453">
      <c r="A453" s="250"/>
      <c r="B453" s="250"/>
      <c r="C453" s="250"/>
      <c r="D453" s="250"/>
      <c r="E453" s="250"/>
      <c r="F453" s="250"/>
      <c r="G453" s="250"/>
      <c r="H453" s="250"/>
      <c r="I453" s="250"/>
    </row>
    <row r="454">
      <c r="A454" s="250"/>
      <c r="B454" s="250"/>
      <c r="C454" s="250"/>
      <c r="D454" s="250"/>
      <c r="E454" s="250"/>
      <c r="F454" s="250"/>
      <c r="G454" s="250"/>
      <c r="H454" s="250"/>
      <c r="I454" s="250"/>
    </row>
    <row r="455">
      <c r="A455" s="250"/>
      <c r="B455" s="250"/>
      <c r="C455" s="250"/>
      <c r="D455" s="250"/>
      <c r="E455" s="250"/>
      <c r="F455" s="250"/>
      <c r="G455" s="250"/>
      <c r="H455" s="250"/>
      <c r="I455" s="250"/>
    </row>
    <row r="456">
      <c r="A456" s="250"/>
      <c r="B456" s="250"/>
      <c r="C456" s="250"/>
      <c r="D456" s="250"/>
      <c r="E456" s="250"/>
      <c r="F456" s="250"/>
      <c r="G456" s="250"/>
      <c r="H456" s="250"/>
      <c r="I456" s="250"/>
    </row>
    <row r="457">
      <c r="A457" s="250"/>
      <c r="B457" s="250"/>
      <c r="C457" s="250"/>
      <c r="D457" s="250"/>
      <c r="E457" s="250"/>
      <c r="F457" s="250"/>
      <c r="G457" s="250"/>
      <c r="H457" s="250"/>
      <c r="I457" s="250"/>
    </row>
    <row r="458">
      <c r="A458" s="250"/>
      <c r="B458" s="250"/>
      <c r="C458" s="250"/>
      <c r="D458" s="250"/>
      <c r="E458" s="250"/>
      <c r="F458" s="250"/>
      <c r="G458" s="250"/>
      <c r="H458" s="250"/>
      <c r="I458" s="250"/>
    </row>
    <row r="459">
      <c r="A459" s="250"/>
      <c r="B459" s="250"/>
      <c r="C459" s="250"/>
      <c r="D459" s="250"/>
      <c r="E459" s="250"/>
      <c r="F459" s="250"/>
      <c r="G459" s="250"/>
      <c r="H459" s="250"/>
      <c r="I459" s="250"/>
    </row>
    <row r="460">
      <c r="A460" s="250"/>
      <c r="B460" s="250"/>
      <c r="C460" s="250"/>
      <c r="D460" s="250"/>
      <c r="E460" s="250"/>
      <c r="F460" s="250"/>
      <c r="G460" s="250"/>
      <c r="H460" s="250"/>
      <c r="I460" s="250"/>
    </row>
    <row r="461">
      <c r="A461" s="250"/>
      <c r="B461" s="250"/>
      <c r="C461" s="250"/>
      <c r="D461" s="250"/>
      <c r="E461" s="250"/>
      <c r="F461" s="250"/>
      <c r="G461" s="250"/>
      <c r="H461" s="250"/>
      <c r="I461" s="250"/>
    </row>
    <row r="462">
      <c r="A462" s="250"/>
      <c r="B462" s="250"/>
      <c r="C462" s="250"/>
      <c r="D462" s="250"/>
      <c r="E462" s="250"/>
      <c r="F462" s="250"/>
      <c r="G462" s="250"/>
      <c r="H462" s="250"/>
      <c r="I462" s="250"/>
    </row>
    <row r="463">
      <c r="A463" s="250"/>
      <c r="B463" s="250"/>
      <c r="C463" s="250"/>
      <c r="D463" s="250"/>
      <c r="E463" s="250"/>
      <c r="F463" s="250"/>
      <c r="G463" s="250"/>
      <c r="H463" s="250"/>
      <c r="I463" s="250"/>
    </row>
    <row r="464">
      <c r="A464" s="250"/>
      <c r="B464" s="250"/>
      <c r="C464" s="250"/>
      <c r="D464" s="250"/>
      <c r="E464" s="250"/>
      <c r="F464" s="250"/>
      <c r="G464" s="250"/>
      <c r="H464" s="250"/>
      <c r="I464" s="250"/>
    </row>
    <row r="465">
      <c r="A465" s="250"/>
      <c r="B465" s="250"/>
      <c r="C465" s="250"/>
      <c r="D465" s="250"/>
      <c r="E465" s="250"/>
      <c r="F465" s="250"/>
      <c r="G465" s="250"/>
      <c r="H465" s="250"/>
      <c r="I465" s="250"/>
    </row>
    <row r="466">
      <c r="A466" s="250"/>
      <c r="B466" s="250"/>
      <c r="C466" s="250"/>
      <c r="D466" s="250"/>
      <c r="E466" s="250"/>
      <c r="F466" s="250"/>
      <c r="G466" s="250"/>
      <c r="H466" s="250"/>
      <c r="I466" s="250"/>
    </row>
    <row r="467">
      <c r="A467" s="250"/>
      <c r="B467" s="250"/>
      <c r="C467" s="250"/>
      <c r="D467" s="250"/>
      <c r="E467" s="250"/>
      <c r="F467" s="250"/>
      <c r="G467" s="250"/>
      <c r="H467" s="250"/>
      <c r="I467" s="250"/>
    </row>
    <row r="468">
      <c r="A468" s="250"/>
      <c r="B468" s="250"/>
      <c r="C468" s="250"/>
      <c r="D468" s="250"/>
      <c r="E468" s="250"/>
      <c r="F468" s="250"/>
      <c r="G468" s="250"/>
      <c r="H468" s="250"/>
      <c r="I468" s="250"/>
    </row>
    <row r="469">
      <c r="A469" s="250"/>
      <c r="B469" s="250"/>
      <c r="C469" s="250"/>
      <c r="D469" s="250"/>
      <c r="E469" s="250"/>
      <c r="F469" s="250"/>
      <c r="G469" s="250"/>
      <c r="H469" s="250"/>
      <c r="I469" s="250"/>
    </row>
    <row r="470">
      <c r="A470" s="250"/>
      <c r="B470" s="250"/>
      <c r="C470" s="250"/>
      <c r="D470" s="250"/>
      <c r="E470" s="250"/>
      <c r="F470" s="250"/>
      <c r="G470" s="250"/>
      <c r="H470" s="250"/>
      <c r="I470" s="250"/>
    </row>
    <row r="471">
      <c r="A471" s="250"/>
      <c r="B471" s="250"/>
      <c r="C471" s="250"/>
      <c r="D471" s="250"/>
      <c r="E471" s="250"/>
      <c r="F471" s="250"/>
      <c r="G471" s="250"/>
      <c r="H471" s="250"/>
      <c r="I471" s="250"/>
    </row>
    <row r="472">
      <c r="A472" s="250"/>
      <c r="B472" s="250"/>
      <c r="C472" s="250"/>
      <c r="D472" s="250"/>
      <c r="E472" s="250"/>
      <c r="F472" s="250"/>
      <c r="G472" s="250"/>
      <c r="H472" s="250"/>
      <c r="I472" s="250"/>
    </row>
    <row r="473">
      <c r="A473" s="250"/>
      <c r="B473" s="250"/>
      <c r="C473" s="250"/>
      <c r="D473" s="250"/>
      <c r="E473" s="250"/>
      <c r="F473" s="250"/>
      <c r="G473" s="250"/>
      <c r="H473" s="250"/>
      <c r="I473" s="250"/>
    </row>
    <row r="474">
      <c r="A474" s="250"/>
      <c r="B474" s="250"/>
      <c r="C474" s="250"/>
      <c r="D474" s="250"/>
      <c r="E474" s="250"/>
      <c r="F474" s="250"/>
      <c r="G474" s="250"/>
      <c r="H474" s="250"/>
      <c r="I474" s="250"/>
    </row>
    <row r="475">
      <c r="A475" s="250"/>
      <c r="B475" s="250"/>
      <c r="C475" s="250"/>
      <c r="D475" s="250"/>
      <c r="E475" s="250"/>
      <c r="F475" s="250"/>
      <c r="G475" s="250"/>
      <c r="H475" s="250"/>
      <c r="I475" s="250"/>
    </row>
    <row r="476">
      <c r="A476" s="250"/>
      <c r="B476" s="250"/>
      <c r="C476" s="250"/>
      <c r="D476" s="250"/>
      <c r="E476" s="250"/>
      <c r="F476" s="250"/>
      <c r="G476" s="250"/>
      <c r="H476" s="250"/>
      <c r="I476" s="250"/>
    </row>
    <row r="477">
      <c r="A477" s="250"/>
      <c r="B477" s="250"/>
      <c r="C477" s="250"/>
      <c r="D477" s="250"/>
      <c r="E477" s="250"/>
      <c r="F477" s="250"/>
      <c r="G477" s="250"/>
      <c r="H477" s="250"/>
      <c r="I477" s="250"/>
    </row>
    <row r="478">
      <c r="A478" s="250"/>
      <c r="B478" s="250"/>
      <c r="C478" s="250"/>
      <c r="D478" s="250"/>
      <c r="E478" s="250"/>
      <c r="F478" s="250"/>
      <c r="G478" s="250"/>
      <c r="H478" s="250"/>
      <c r="I478" s="250"/>
    </row>
    <row r="479">
      <c r="A479" s="250"/>
      <c r="B479" s="250"/>
      <c r="C479" s="250"/>
      <c r="D479" s="250"/>
      <c r="E479" s="250"/>
      <c r="F479" s="250"/>
      <c r="G479" s="250"/>
      <c r="H479" s="250"/>
      <c r="I479" s="250"/>
    </row>
    <row r="480">
      <c r="A480" s="250"/>
      <c r="B480" s="250"/>
      <c r="C480" s="250"/>
      <c r="D480" s="250"/>
      <c r="E480" s="250"/>
      <c r="F480" s="250"/>
      <c r="G480" s="250"/>
      <c r="H480" s="250"/>
      <c r="I480" s="250"/>
    </row>
    <row r="481">
      <c r="A481" s="250"/>
      <c r="B481" s="250"/>
      <c r="C481" s="250"/>
      <c r="D481" s="250"/>
      <c r="E481" s="250"/>
      <c r="F481" s="250"/>
      <c r="G481" s="250"/>
      <c r="H481" s="250"/>
      <c r="I481" s="250"/>
    </row>
    <row r="482">
      <c r="A482" s="250"/>
      <c r="B482" s="250"/>
      <c r="C482" s="250"/>
      <c r="D482" s="250"/>
      <c r="E482" s="250"/>
      <c r="F482" s="250"/>
      <c r="G482" s="250"/>
      <c r="H482" s="250"/>
      <c r="I482" s="250"/>
    </row>
    <row r="483">
      <c r="A483" s="250"/>
      <c r="B483" s="250"/>
      <c r="C483" s="250"/>
      <c r="D483" s="250"/>
      <c r="E483" s="250"/>
      <c r="F483" s="250"/>
      <c r="G483" s="250"/>
      <c r="H483" s="250"/>
      <c r="I483" s="250"/>
    </row>
    <row r="484">
      <c r="A484" s="250"/>
      <c r="B484" s="250"/>
      <c r="C484" s="250"/>
      <c r="D484" s="250"/>
      <c r="E484" s="250"/>
      <c r="F484" s="250"/>
      <c r="G484" s="250"/>
      <c r="H484" s="250"/>
      <c r="I484" s="250"/>
    </row>
    <row r="485">
      <c r="A485" s="250"/>
      <c r="B485" s="250"/>
      <c r="C485" s="250"/>
      <c r="D485" s="250"/>
      <c r="E485" s="250"/>
      <c r="F485" s="250"/>
      <c r="G485" s="250"/>
      <c r="H485" s="250"/>
      <c r="I485" s="250"/>
    </row>
    <row r="486">
      <c r="A486" s="250"/>
      <c r="B486" s="250"/>
      <c r="C486" s="250"/>
      <c r="D486" s="250"/>
      <c r="E486" s="250"/>
      <c r="F486" s="250"/>
      <c r="G486" s="250"/>
      <c r="H486" s="250"/>
      <c r="I486" s="250"/>
    </row>
    <row r="487">
      <c r="A487" s="250"/>
      <c r="B487" s="250"/>
      <c r="C487" s="250"/>
      <c r="D487" s="250"/>
      <c r="E487" s="250"/>
      <c r="F487" s="250"/>
      <c r="G487" s="250"/>
      <c r="H487" s="250"/>
      <c r="I487" s="250"/>
    </row>
    <row r="488">
      <c r="A488" s="250"/>
      <c r="B488" s="250"/>
      <c r="C488" s="250"/>
      <c r="D488" s="250"/>
      <c r="E488" s="250"/>
      <c r="F488" s="250"/>
      <c r="G488" s="250"/>
      <c r="H488" s="250"/>
      <c r="I488" s="250"/>
    </row>
    <row r="489">
      <c r="A489" s="250"/>
      <c r="B489" s="250"/>
      <c r="C489" s="250"/>
      <c r="D489" s="250"/>
      <c r="E489" s="250"/>
      <c r="F489" s="250"/>
      <c r="G489" s="250"/>
      <c r="H489" s="250"/>
      <c r="I489" s="250"/>
    </row>
    <row r="490">
      <c r="A490" s="250"/>
      <c r="B490" s="250"/>
      <c r="C490" s="250"/>
      <c r="D490" s="250"/>
      <c r="E490" s="250"/>
      <c r="F490" s="250"/>
      <c r="G490" s="250"/>
      <c r="H490" s="250"/>
      <c r="I490" s="250"/>
    </row>
    <row r="491">
      <c r="A491" s="250"/>
      <c r="B491" s="250"/>
      <c r="C491" s="250"/>
      <c r="D491" s="250"/>
      <c r="E491" s="250"/>
      <c r="F491" s="250"/>
      <c r="G491" s="250"/>
      <c r="H491" s="250"/>
      <c r="I491" s="250"/>
    </row>
    <row r="492">
      <c r="A492" s="250"/>
      <c r="B492" s="250"/>
      <c r="C492" s="250"/>
      <c r="D492" s="250"/>
      <c r="E492" s="250"/>
      <c r="F492" s="250"/>
      <c r="G492" s="250"/>
      <c r="H492" s="250"/>
      <c r="I492" s="250"/>
    </row>
    <row r="493">
      <c r="A493" s="250"/>
      <c r="B493" s="250"/>
      <c r="C493" s="250"/>
      <c r="D493" s="250"/>
      <c r="E493" s="250"/>
      <c r="F493" s="250"/>
      <c r="G493" s="250"/>
      <c r="H493" s="250"/>
      <c r="I493" s="250"/>
    </row>
    <row r="494">
      <c r="A494" s="250"/>
      <c r="B494" s="250"/>
      <c r="C494" s="250"/>
      <c r="D494" s="250"/>
      <c r="E494" s="250"/>
      <c r="F494" s="250"/>
      <c r="G494" s="250"/>
      <c r="H494" s="250"/>
      <c r="I494" s="250"/>
    </row>
    <row r="495">
      <c r="A495" s="250"/>
      <c r="B495" s="250"/>
      <c r="C495" s="250"/>
      <c r="D495" s="250"/>
      <c r="E495" s="250"/>
      <c r="F495" s="250"/>
      <c r="G495" s="250"/>
      <c r="H495" s="250"/>
      <c r="I495" s="250"/>
    </row>
    <row r="496">
      <c r="A496" s="250"/>
      <c r="B496" s="250"/>
      <c r="C496" s="250"/>
      <c r="D496" s="250"/>
      <c r="E496" s="250"/>
      <c r="F496" s="250"/>
      <c r="G496" s="250"/>
      <c r="H496" s="250"/>
      <c r="I496" s="250"/>
    </row>
    <row r="497">
      <c r="A497" s="250"/>
      <c r="B497" s="250"/>
      <c r="C497" s="250"/>
      <c r="D497" s="250"/>
      <c r="E497" s="250"/>
      <c r="F497" s="250"/>
      <c r="G497" s="250"/>
      <c r="H497" s="250"/>
      <c r="I497" s="250"/>
    </row>
    <row r="498">
      <c r="A498" s="250"/>
      <c r="B498" s="250"/>
      <c r="C498" s="250"/>
      <c r="D498" s="250"/>
      <c r="E498" s="250"/>
      <c r="F498" s="250"/>
      <c r="G498" s="250"/>
      <c r="H498" s="250"/>
      <c r="I498" s="250"/>
    </row>
    <row r="499">
      <c r="A499" s="250"/>
      <c r="B499" s="250"/>
      <c r="C499" s="250"/>
      <c r="D499" s="250"/>
      <c r="E499" s="250"/>
      <c r="F499" s="250"/>
      <c r="G499" s="250"/>
      <c r="H499" s="250"/>
      <c r="I499" s="250"/>
    </row>
    <row r="500">
      <c r="A500" s="250"/>
      <c r="B500" s="250"/>
      <c r="C500" s="250"/>
      <c r="D500" s="250"/>
      <c r="E500" s="250"/>
      <c r="F500" s="250"/>
      <c r="G500" s="250"/>
      <c r="H500" s="250"/>
      <c r="I500" s="250"/>
    </row>
    <row r="501">
      <c r="A501" s="250"/>
      <c r="B501" s="250"/>
      <c r="C501" s="250"/>
      <c r="D501" s="250"/>
      <c r="E501" s="250"/>
      <c r="F501" s="250"/>
      <c r="G501" s="250"/>
      <c r="H501" s="250"/>
      <c r="I501" s="250"/>
    </row>
    <row r="502">
      <c r="A502" s="250"/>
      <c r="B502" s="250"/>
      <c r="C502" s="250"/>
      <c r="D502" s="250"/>
      <c r="E502" s="250"/>
      <c r="F502" s="250"/>
      <c r="G502" s="250"/>
      <c r="H502" s="250"/>
      <c r="I502" s="250"/>
    </row>
    <row r="503">
      <c r="A503" s="250"/>
      <c r="B503" s="250"/>
      <c r="C503" s="250"/>
      <c r="D503" s="250"/>
      <c r="E503" s="250"/>
      <c r="F503" s="250"/>
      <c r="G503" s="250"/>
      <c r="H503" s="250"/>
      <c r="I503" s="250"/>
    </row>
    <row r="504">
      <c r="A504" s="250"/>
      <c r="B504" s="250"/>
      <c r="C504" s="250"/>
      <c r="D504" s="250"/>
      <c r="E504" s="250"/>
      <c r="F504" s="250"/>
      <c r="G504" s="250"/>
      <c r="H504" s="250"/>
      <c r="I504" s="250"/>
    </row>
    <row r="505">
      <c r="A505" s="250"/>
      <c r="B505" s="250"/>
      <c r="C505" s="250"/>
      <c r="D505" s="250"/>
      <c r="E505" s="250"/>
      <c r="F505" s="250"/>
      <c r="G505" s="250"/>
      <c r="H505" s="250"/>
      <c r="I505" s="250"/>
    </row>
    <row r="506">
      <c r="A506" s="250"/>
      <c r="B506" s="250"/>
      <c r="C506" s="250"/>
      <c r="D506" s="250"/>
      <c r="E506" s="250"/>
      <c r="F506" s="250"/>
      <c r="G506" s="250"/>
      <c r="H506" s="250"/>
      <c r="I506" s="250"/>
    </row>
    <row r="507">
      <c r="A507" s="250"/>
      <c r="B507" s="250"/>
      <c r="C507" s="250"/>
      <c r="D507" s="250"/>
      <c r="E507" s="250"/>
      <c r="F507" s="250"/>
      <c r="G507" s="250"/>
      <c r="H507" s="250"/>
      <c r="I507" s="250"/>
    </row>
    <row r="508">
      <c r="A508" s="250"/>
      <c r="B508" s="250"/>
      <c r="C508" s="250"/>
      <c r="D508" s="250"/>
      <c r="E508" s="250"/>
      <c r="F508" s="250"/>
      <c r="G508" s="250"/>
      <c r="H508" s="250"/>
      <c r="I508" s="250"/>
    </row>
    <row r="509">
      <c r="A509" s="250"/>
      <c r="B509" s="250"/>
      <c r="C509" s="250"/>
      <c r="D509" s="250"/>
      <c r="E509" s="250"/>
      <c r="F509" s="250"/>
      <c r="G509" s="250"/>
      <c r="H509" s="250"/>
      <c r="I509" s="250"/>
    </row>
    <row r="510">
      <c r="A510" s="250"/>
      <c r="B510" s="250"/>
      <c r="C510" s="250"/>
      <c r="D510" s="250"/>
      <c r="E510" s="250"/>
      <c r="F510" s="250"/>
      <c r="G510" s="250"/>
      <c r="H510" s="250"/>
      <c r="I510" s="250"/>
    </row>
    <row r="511">
      <c r="A511" s="250"/>
      <c r="B511" s="250"/>
      <c r="C511" s="250"/>
      <c r="D511" s="250"/>
      <c r="E511" s="250"/>
      <c r="F511" s="250"/>
      <c r="G511" s="250"/>
      <c r="H511" s="250"/>
      <c r="I511" s="250"/>
    </row>
    <row r="512">
      <c r="A512" s="250"/>
      <c r="B512" s="250"/>
      <c r="C512" s="250"/>
      <c r="D512" s="250"/>
      <c r="E512" s="250"/>
      <c r="F512" s="250"/>
      <c r="G512" s="250"/>
      <c r="H512" s="250"/>
      <c r="I512" s="250"/>
    </row>
    <row r="513">
      <c r="A513" s="250"/>
      <c r="B513" s="250"/>
      <c r="C513" s="250"/>
      <c r="D513" s="250"/>
      <c r="E513" s="250"/>
      <c r="F513" s="250"/>
      <c r="G513" s="250"/>
      <c r="H513" s="250"/>
      <c r="I513" s="250"/>
    </row>
    <row r="514">
      <c r="A514" s="250"/>
      <c r="B514" s="250"/>
      <c r="C514" s="250"/>
      <c r="D514" s="250"/>
      <c r="E514" s="250"/>
      <c r="F514" s="250"/>
      <c r="G514" s="250"/>
      <c r="H514" s="250"/>
      <c r="I514" s="250"/>
    </row>
    <row r="515">
      <c r="A515" s="250"/>
      <c r="B515" s="250"/>
      <c r="C515" s="250"/>
      <c r="D515" s="250"/>
      <c r="E515" s="250"/>
      <c r="F515" s="250"/>
      <c r="G515" s="250"/>
      <c r="H515" s="250"/>
      <c r="I515" s="250"/>
    </row>
    <row r="516">
      <c r="A516" s="250"/>
      <c r="B516" s="250"/>
      <c r="C516" s="250"/>
      <c r="D516" s="250"/>
      <c r="E516" s="250"/>
      <c r="F516" s="250"/>
      <c r="G516" s="250"/>
      <c r="H516" s="250"/>
      <c r="I516" s="250"/>
    </row>
    <row r="517">
      <c r="A517" s="250"/>
      <c r="B517" s="250"/>
      <c r="C517" s="250"/>
      <c r="D517" s="250"/>
      <c r="E517" s="250"/>
      <c r="F517" s="250"/>
      <c r="G517" s="250"/>
      <c r="H517" s="250"/>
      <c r="I517" s="250"/>
    </row>
    <row r="518">
      <c r="A518" s="250"/>
      <c r="B518" s="250"/>
      <c r="C518" s="250"/>
      <c r="D518" s="250"/>
      <c r="E518" s="250"/>
      <c r="F518" s="250"/>
      <c r="G518" s="250"/>
      <c r="H518" s="250"/>
      <c r="I518" s="250"/>
    </row>
    <row r="519">
      <c r="A519" s="250"/>
      <c r="B519" s="250"/>
      <c r="C519" s="250"/>
      <c r="D519" s="250"/>
      <c r="E519" s="250"/>
      <c r="F519" s="250"/>
      <c r="G519" s="250"/>
      <c r="H519" s="250"/>
      <c r="I519" s="250"/>
    </row>
    <row r="520">
      <c r="A520" s="250"/>
      <c r="B520" s="250"/>
      <c r="C520" s="250"/>
      <c r="D520" s="250"/>
      <c r="E520" s="250"/>
      <c r="F520" s="250"/>
      <c r="G520" s="250"/>
      <c r="H520" s="250"/>
      <c r="I520" s="250"/>
    </row>
    <row r="521">
      <c r="A521" s="250"/>
      <c r="B521" s="250"/>
      <c r="C521" s="250"/>
      <c r="D521" s="250"/>
      <c r="E521" s="250"/>
      <c r="F521" s="250"/>
      <c r="G521" s="250"/>
      <c r="H521" s="250"/>
      <c r="I521" s="250"/>
    </row>
    <row r="522">
      <c r="A522" s="250"/>
      <c r="B522" s="250"/>
      <c r="C522" s="250"/>
      <c r="D522" s="250"/>
      <c r="E522" s="250"/>
      <c r="F522" s="250"/>
      <c r="G522" s="250"/>
      <c r="H522" s="250"/>
      <c r="I522" s="250"/>
    </row>
    <row r="523">
      <c r="A523" s="250"/>
      <c r="B523" s="250"/>
      <c r="C523" s="250"/>
      <c r="D523" s="250"/>
      <c r="E523" s="250"/>
      <c r="F523" s="250"/>
      <c r="G523" s="250"/>
      <c r="H523" s="250"/>
      <c r="I523" s="250"/>
    </row>
    <row r="524">
      <c r="A524" s="250"/>
      <c r="B524" s="250"/>
      <c r="C524" s="250"/>
      <c r="D524" s="250"/>
      <c r="E524" s="250"/>
      <c r="F524" s="250"/>
      <c r="G524" s="250"/>
      <c r="H524" s="250"/>
      <c r="I524" s="250"/>
    </row>
    <row r="525">
      <c r="A525" s="250"/>
      <c r="B525" s="250"/>
      <c r="C525" s="250"/>
      <c r="D525" s="250"/>
      <c r="E525" s="250"/>
      <c r="F525" s="250"/>
      <c r="G525" s="250"/>
      <c r="H525" s="250"/>
      <c r="I525" s="250"/>
    </row>
    <row r="526">
      <c r="A526" s="250"/>
      <c r="B526" s="250"/>
      <c r="C526" s="250"/>
      <c r="D526" s="250"/>
      <c r="E526" s="250"/>
      <c r="F526" s="250"/>
      <c r="G526" s="250"/>
      <c r="H526" s="250"/>
      <c r="I526" s="250"/>
    </row>
    <row r="527">
      <c r="A527" s="250"/>
      <c r="B527" s="250"/>
      <c r="C527" s="250"/>
      <c r="D527" s="250"/>
      <c r="E527" s="250"/>
      <c r="F527" s="250"/>
      <c r="G527" s="250"/>
      <c r="H527" s="250"/>
      <c r="I527" s="250"/>
    </row>
    <row r="528">
      <c r="A528" s="250"/>
      <c r="B528" s="250"/>
      <c r="C528" s="250"/>
      <c r="D528" s="250"/>
      <c r="E528" s="250"/>
      <c r="F528" s="250"/>
      <c r="G528" s="250"/>
      <c r="H528" s="250"/>
      <c r="I528" s="250"/>
    </row>
    <row r="529">
      <c r="A529" s="250"/>
      <c r="B529" s="250"/>
      <c r="C529" s="250"/>
      <c r="D529" s="250"/>
      <c r="E529" s="250"/>
      <c r="F529" s="250"/>
      <c r="G529" s="250"/>
      <c r="H529" s="250"/>
      <c r="I529" s="250"/>
    </row>
    <row r="530">
      <c r="A530" s="250"/>
      <c r="B530" s="250"/>
      <c r="C530" s="250"/>
      <c r="D530" s="250"/>
      <c r="E530" s="250"/>
      <c r="F530" s="250"/>
      <c r="G530" s="250"/>
      <c r="H530" s="250"/>
      <c r="I530" s="250"/>
    </row>
    <row r="531">
      <c r="A531" s="250"/>
      <c r="B531" s="250"/>
      <c r="C531" s="250"/>
      <c r="D531" s="250"/>
      <c r="E531" s="250"/>
      <c r="F531" s="250"/>
      <c r="G531" s="250"/>
      <c r="H531" s="250"/>
      <c r="I531" s="250"/>
    </row>
    <row r="532">
      <c r="A532" s="250"/>
      <c r="B532" s="250"/>
      <c r="C532" s="250"/>
      <c r="D532" s="250"/>
      <c r="E532" s="250"/>
      <c r="F532" s="250"/>
      <c r="G532" s="250"/>
      <c r="H532" s="250"/>
      <c r="I532" s="250"/>
    </row>
    <row r="533">
      <c r="A533" s="250"/>
      <c r="B533" s="250"/>
      <c r="C533" s="250"/>
      <c r="D533" s="250"/>
      <c r="E533" s="250"/>
      <c r="F533" s="250"/>
      <c r="G533" s="250"/>
      <c r="H533" s="250"/>
      <c r="I533" s="250"/>
    </row>
    <row r="534">
      <c r="A534" s="250"/>
      <c r="B534" s="250"/>
      <c r="C534" s="250"/>
      <c r="D534" s="250"/>
      <c r="E534" s="250"/>
      <c r="F534" s="250"/>
      <c r="G534" s="250"/>
      <c r="H534" s="250"/>
      <c r="I534" s="250"/>
    </row>
    <row r="535">
      <c r="A535" s="250"/>
      <c r="B535" s="250"/>
      <c r="C535" s="250"/>
      <c r="D535" s="250"/>
      <c r="E535" s="250"/>
      <c r="F535" s="250"/>
      <c r="G535" s="250"/>
      <c r="H535" s="250"/>
      <c r="I535" s="250"/>
    </row>
    <row r="536">
      <c r="A536" s="250"/>
      <c r="B536" s="250"/>
      <c r="C536" s="250"/>
      <c r="D536" s="250"/>
      <c r="E536" s="250"/>
      <c r="F536" s="250"/>
      <c r="G536" s="250"/>
      <c r="H536" s="250"/>
      <c r="I536" s="250"/>
    </row>
    <row r="537">
      <c r="A537" s="250"/>
      <c r="B537" s="250"/>
      <c r="C537" s="250"/>
      <c r="D537" s="250"/>
      <c r="E537" s="250"/>
      <c r="F537" s="250"/>
      <c r="G537" s="250"/>
      <c r="H537" s="250"/>
      <c r="I537" s="250"/>
    </row>
    <row r="538">
      <c r="A538" s="250"/>
      <c r="B538" s="250"/>
      <c r="C538" s="250"/>
      <c r="D538" s="250"/>
      <c r="E538" s="250"/>
      <c r="F538" s="250"/>
      <c r="G538" s="250"/>
      <c r="H538" s="250"/>
      <c r="I538" s="250"/>
    </row>
    <row r="539">
      <c r="A539" s="250"/>
      <c r="B539" s="250"/>
      <c r="C539" s="250"/>
      <c r="D539" s="250"/>
      <c r="E539" s="250"/>
      <c r="F539" s="250"/>
      <c r="G539" s="250"/>
      <c r="H539" s="250"/>
      <c r="I539" s="250"/>
    </row>
    <row r="540">
      <c r="A540" s="250"/>
      <c r="B540" s="250"/>
      <c r="C540" s="250"/>
      <c r="D540" s="250"/>
      <c r="E540" s="250"/>
      <c r="F540" s="250"/>
      <c r="G540" s="250"/>
      <c r="H540" s="250"/>
      <c r="I540" s="250"/>
    </row>
    <row r="541">
      <c r="A541" s="250"/>
      <c r="B541" s="250"/>
      <c r="C541" s="250"/>
      <c r="D541" s="250"/>
      <c r="E541" s="250"/>
      <c r="F541" s="250"/>
      <c r="G541" s="250"/>
      <c r="H541" s="250"/>
      <c r="I541" s="250"/>
    </row>
    <row r="542">
      <c r="A542" s="250"/>
      <c r="B542" s="250"/>
      <c r="C542" s="250"/>
      <c r="D542" s="250"/>
      <c r="E542" s="250"/>
      <c r="F542" s="250"/>
      <c r="G542" s="250"/>
      <c r="H542" s="250"/>
      <c r="I542" s="250"/>
    </row>
    <row r="543">
      <c r="A543" s="250"/>
      <c r="B543" s="250"/>
      <c r="C543" s="250"/>
      <c r="D543" s="250"/>
      <c r="E543" s="250"/>
      <c r="F543" s="250"/>
      <c r="G543" s="250"/>
      <c r="H543" s="250"/>
      <c r="I543" s="250"/>
    </row>
    <row r="544">
      <c r="A544" s="250"/>
      <c r="B544" s="250"/>
      <c r="C544" s="250"/>
      <c r="D544" s="250"/>
      <c r="E544" s="250"/>
      <c r="F544" s="250"/>
      <c r="G544" s="250"/>
      <c r="H544" s="250"/>
      <c r="I544" s="250"/>
    </row>
    <row r="545">
      <c r="A545" s="250"/>
      <c r="B545" s="250"/>
      <c r="C545" s="250"/>
      <c r="D545" s="250"/>
      <c r="E545" s="250"/>
      <c r="F545" s="250"/>
      <c r="G545" s="250"/>
      <c r="H545" s="250"/>
      <c r="I545" s="250"/>
    </row>
    <row r="546">
      <c r="A546" s="250"/>
      <c r="B546" s="250"/>
      <c r="C546" s="250"/>
      <c r="D546" s="250"/>
      <c r="E546" s="250"/>
      <c r="F546" s="250"/>
      <c r="G546" s="250"/>
      <c r="H546" s="250"/>
      <c r="I546" s="250"/>
    </row>
    <row r="547">
      <c r="A547" s="250"/>
      <c r="B547" s="250"/>
      <c r="C547" s="250"/>
      <c r="D547" s="250"/>
      <c r="E547" s="250"/>
      <c r="F547" s="250"/>
      <c r="G547" s="250"/>
      <c r="H547" s="250"/>
      <c r="I547" s="250"/>
    </row>
    <row r="548">
      <c r="A548" s="250"/>
      <c r="B548" s="250"/>
      <c r="C548" s="250"/>
      <c r="D548" s="250"/>
      <c r="E548" s="250"/>
      <c r="F548" s="250"/>
      <c r="G548" s="250"/>
      <c r="H548" s="250"/>
      <c r="I548" s="250"/>
    </row>
    <row r="549">
      <c r="A549" s="250"/>
      <c r="B549" s="250"/>
      <c r="C549" s="250"/>
      <c r="D549" s="250"/>
      <c r="E549" s="250"/>
      <c r="F549" s="250"/>
      <c r="G549" s="250"/>
      <c r="H549" s="250"/>
      <c r="I549" s="250"/>
    </row>
    <row r="550">
      <c r="A550" s="250"/>
      <c r="B550" s="250"/>
      <c r="C550" s="250"/>
      <c r="D550" s="250"/>
      <c r="E550" s="250"/>
      <c r="F550" s="250"/>
      <c r="G550" s="250"/>
      <c r="H550" s="250"/>
      <c r="I550" s="250"/>
    </row>
    <row r="551">
      <c r="A551" s="250"/>
      <c r="B551" s="250"/>
      <c r="C551" s="250"/>
      <c r="D551" s="250"/>
      <c r="E551" s="250"/>
      <c r="F551" s="250"/>
      <c r="G551" s="250"/>
      <c r="H551" s="250"/>
      <c r="I551" s="250"/>
    </row>
    <row r="552">
      <c r="A552" s="250"/>
      <c r="B552" s="250"/>
      <c r="C552" s="250"/>
      <c r="D552" s="250"/>
      <c r="E552" s="250"/>
      <c r="F552" s="250"/>
      <c r="G552" s="250"/>
      <c r="H552" s="250"/>
      <c r="I552" s="250"/>
    </row>
    <row r="553">
      <c r="A553" s="250"/>
      <c r="B553" s="250"/>
      <c r="C553" s="250"/>
      <c r="D553" s="250"/>
      <c r="E553" s="250"/>
      <c r="F553" s="250"/>
      <c r="G553" s="250"/>
      <c r="H553" s="250"/>
      <c r="I553" s="250"/>
    </row>
    <row r="554">
      <c r="A554" s="250"/>
      <c r="B554" s="250"/>
      <c r="C554" s="250"/>
      <c r="D554" s="250"/>
      <c r="E554" s="250"/>
      <c r="F554" s="250"/>
      <c r="G554" s="250"/>
      <c r="H554" s="250"/>
      <c r="I554" s="250"/>
    </row>
    <row r="555">
      <c r="A555" s="250"/>
      <c r="B555" s="250"/>
      <c r="C555" s="250"/>
      <c r="D555" s="250"/>
      <c r="E555" s="250"/>
      <c r="F555" s="250"/>
      <c r="G555" s="250"/>
      <c r="H555" s="250"/>
      <c r="I555" s="250"/>
    </row>
    <row r="556">
      <c r="A556" s="250"/>
      <c r="B556" s="250"/>
      <c r="C556" s="250"/>
      <c r="D556" s="250"/>
      <c r="E556" s="250"/>
      <c r="F556" s="250"/>
      <c r="G556" s="250"/>
      <c r="H556" s="250"/>
      <c r="I556" s="250"/>
    </row>
    <row r="557">
      <c r="A557" s="250"/>
      <c r="B557" s="250"/>
      <c r="C557" s="250"/>
      <c r="D557" s="250"/>
      <c r="E557" s="250"/>
      <c r="F557" s="250"/>
      <c r="G557" s="250"/>
      <c r="H557" s="250"/>
      <c r="I557" s="250"/>
    </row>
    <row r="558">
      <c r="A558" s="250"/>
      <c r="B558" s="250"/>
      <c r="C558" s="250"/>
      <c r="D558" s="250"/>
      <c r="E558" s="250"/>
      <c r="F558" s="250"/>
      <c r="G558" s="250"/>
      <c r="H558" s="250"/>
      <c r="I558" s="250"/>
    </row>
    <row r="559">
      <c r="A559" s="250"/>
      <c r="B559" s="250"/>
      <c r="C559" s="250"/>
      <c r="D559" s="250"/>
      <c r="E559" s="250"/>
      <c r="F559" s="250"/>
      <c r="G559" s="250"/>
      <c r="H559" s="250"/>
      <c r="I559" s="250"/>
    </row>
    <row r="560">
      <c r="A560" s="250"/>
      <c r="B560" s="250"/>
      <c r="C560" s="250"/>
      <c r="D560" s="250"/>
      <c r="E560" s="250"/>
      <c r="F560" s="250"/>
      <c r="G560" s="250"/>
      <c r="H560" s="250"/>
      <c r="I560" s="250"/>
    </row>
    <row r="561">
      <c r="A561" s="250"/>
      <c r="B561" s="250"/>
      <c r="C561" s="250"/>
      <c r="D561" s="250"/>
      <c r="E561" s="250"/>
      <c r="F561" s="250"/>
      <c r="G561" s="250"/>
      <c r="H561" s="250"/>
      <c r="I561" s="250"/>
    </row>
    <row r="562">
      <c r="A562" s="250"/>
      <c r="B562" s="250"/>
      <c r="C562" s="250"/>
      <c r="D562" s="250"/>
      <c r="E562" s="250"/>
      <c r="F562" s="250"/>
      <c r="G562" s="250"/>
      <c r="H562" s="250"/>
      <c r="I562" s="250"/>
    </row>
    <row r="563">
      <c r="A563" s="250"/>
      <c r="B563" s="250"/>
      <c r="C563" s="250"/>
      <c r="D563" s="250"/>
      <c r="E563" s="250"/>
      <c r="F563" s="250"/>
      <c r="G563" s="250"/>
      <c r="H563" s="250"/>
      <c r="I563" s="250"/>
    </row>
    <row r="564">
      <c r="A564" s="250"/>
      <c r="B564" s="250"/>
      <c r="C564" s="250"/>
      <c r="D564" s="250"/>
      <c r="E564" s="250"/>
      <c r="F564" s="250"/>
      <c r="G564" s="250"/>
      <c r="H564" s="250"/>
      <c r="I564" s="250"/>
    </row>
    <row r="565">
      <c r="A565" s="250"/>
      <c r="B565" s="250"/>
      <c r="C565" s="250"/>
      <c r="D565" s="250"/>
      <c r="E565" s="250"/>
      <c r="F565" s="250"/>
      <c r="G565" s="250"/>
      <c r="H565" s="250"/>
      <c r="I565" s="250"/>
    </row>
    <row r="566">
      <c r="A566" s="250"/>
      <c r="B566" s="250"/>
      <c r="C566" s="250"/>
      <c r="D566" s="250"/>
      <c r="E566" s="250"/>
      <c r="F566" s="250"/>
      <c r="G566" s="250"/>
      <c r="H566" s="250"/>
      <c r="I566" s="250"/>
    </row>
    <row r="567">
      <c r="A567" s="250"/>
      <c r="B567" s="250"/>
      <c r="C567" s="250"/>
      <c r="D567" s="250"/>
      <c r="E567" s="250"/>
      <c r="F567" s="250"/>
      <c r="G567" s="250"/>
      <c r="H567" s="250"/>
      <c r="I567" s="250"/>
    </row>
    <row r="568">
      <c r="A568" s="250"/>
      <c r="B568" s="250"/>
      <c r="C568" s="250"/>
      <c r="D568" s="250"/>
      <c r="E568" s="250"/>
      <c r="F568" s="250"/>
      <c r="G568" s="250"/>
      <c r="H568" s="250"/>
      <c r="I568" s="250"/>
    </row>
    <row r="569">
      <c r="A569" s="250"/>
      <c r="B569" s="250"/>
      <c r="C569" s="250"/>
      <c r="D569" s="250"/>
      <c r="E569" s="250"/>
      <c r="F569" s="250"/>
      <c r="G569" s="250"/>
      <c r="H569" s="250"/>
      <c r="I569" s="250"/>
    </row>
    <row r="570">
      <c r="A570" s="250"/>
      <c r="B570" s="250"/>
      <c r="C570" s="250"/>
      <c r="D570" s="250"/>
      <c r="E570" s="250"/>
      <c r="F570" s="250"/>
      <c r="G570" s="250"/>
      <c r="H570" s="250"/>
      <c r="I570" s="250"/>
    </row>
    <row r="571">
      <c r="A571" s="250"/>
      <c r="B571" s="250"/>
      <c r="C571" s="250"/>
      <c r="D571" s="250"/>
      <c r="E571" s="250"/>
      <c r="F571" s="250"/>
      <c r="G571" s="250"/>
      <c r="H571" s="250"/>
      <c r="I571" s="250"/>
    </row>
    <row r="572">
      <c r="A572" s="250"/>
      <c r="B572" s="250"/>
      <c r="C572" s="250"/>
      <c r="D572" s="250"/>
      <c r="E572" s="250"/>
      <c r="F572" s="250"/>
      <c r="G572" s="250"/>
      <c r="H572" s="250"/>
      <c r="I572" s="250"/>
    </row>
    <row r="573">
      <c r="A573" s="250"/>
      <c r="B573" s="250"/>
      <c r="C573" s="250"/>
      <c r="D573" s="250"/>
      <c r="E573" s="250"/>
      <c r="F573" s="250"/>
      <c r="G573" s="250"/>
      <c r="H573" s="250"/>
      <c r="I573" s="250"/>
    </row>
    <row r="574">
      <c r="A574" s="250"/>
      <c r="B574" s="250"/>
      <c r="C574" s="250"/>
      <c r="D574" s="250"/>
      <c r="E574" s="250"/>
      <c r="F574" s="250"/>
      <c r="G574" s="250"/>
      <c r="H574" s="250"/>
      <c r="I574" s="250"/>
    </row>
    <row r="575">
      <c r="A575" s="250"/>
      <c r="B575" s="250"/>
      <c r="C575" s="250"/>
      <c r="D575" s="250"/>
      <c r="E575" s="250"/>
      <c r="F575" s="250"/>
      <c r="G575" s="250"/>
      <c r="H575" s="250"/>
      <c r="I575" s="250"/>
    </row>
    <row r="576">
      <c r="A576" s="250"/>
      <c r="B576" s="250"/>
      <c r="C576" s="250"/>
      <c r="D576" s="250"/>
      <c r="E576" s="250"/>
      <c r="F576" s="250"/>
      <c r="G576" s="250"/>
      <c r="H576" s="250"/>
      <c r="I576" s="250"/>
    </row>
    <row r="577">
      <c r="A577" s="250"/>
      <c r="B577" s="250"/>
      <c r="C577" s="250"/>
      <c r="D577" s="250"/>
      <c r="E577" s="250"/>
      <c r="F577" s="250"/>
      <c r="G577" s="250"/>
      <c r="H577" s="250"/>
      <c r="I577" s="250"/>
    </row>
    <row r="578">
      <c r="A578" s="250"/>
      <c r="B578" s="250"/>
      <c r="C578" s="250"/>
      <c r="D578" s="250"/>
      <c r="E578" s="250"/>
      <c r="F578" s="250"/>
      <c r="G578" s="250"/>
      <c r="H578" s="250"/>
      <c r="I578" s="250"/>
    </row>
    <row r="579">
      <c r="A579" s="250"/>
      <c r="B579" s="250"/>
      <c r="C579" s="250"/>
      <c r="D579" s="250"/>
      <c r="E579" s="250"/>
      <c r="F579" s="250"/>
      <c r="G579" s="250"/>
      <c r="H579" s="250"/>
      <c r="I579" s="250"/>
    </row>
    <row r="580">
      <c r="A580" s="250"/>
      <c r="B580" s="250"/>
      <c r="C580" s="250"/>
      <c r="D580" s="250"/>
      <c r="E580" s="250"/>
      <c r="F580" s="250"/>
      <c r="G580" s="250"/>
      <c r="H580" s="250"/>
      <c r="I580" s="250"/>
    </row>
    <row r="581">
      <c r="A581" s="250"/>
      <c r="B581" s="250"/>
      <c r="C581" s="250"/>
      <c r="D581" s="250"/>
      <c r="E581" s="250"/>
      <c r="F581" s="250"/>
      <c r="G581" s="250"/>
      <c r="H581" s="250"/>
      <c r="I581" s="250"/>
    </row>
    <row r="582">
      <c r="A582" s="250"/>
      <c r="B582" s="250"/>
      <c r="C582" s="250"/>
      <c r="D582" s="250"/>
      <c r="E582" s="250"/>
      <c r="F582" s="250"/>
      <c r="G582" s="250"/>
      <c r="H582" s="250"/>
      <c r="I582" s="250"/>
    </row>
    <row r="583">
      <c r="A583" s="250"/>
      <c r="B583" s="250"/>
      <c r="C583" s="250"/>
      <c r="D583" s="250"/>
      <c r="E583" s="250"/>
      <c r="F583" s="250"/>
      <c r="G583" s="250"/>
      <c r="H583" s="250"/>
      <c r="I583" s="250"/>
    </row>
    <row r="584">
      <c r="A584" s="250"/>
      <c r="B584" s="250"/>
      <c r="C584" s="250"/>
      <c r="D584" s="250"/>
      <c r="E584" s="250"/>
      <c r="F584" s="250"/>
      <c r="G584" s="250"/>
      <c r="H584" s="250"/>
      <c r="I584" s="250"/>
    </row>
    <row r="585">
      <c r="A585" s="250"/>
      <c r="B585" s="250"/>
      <c r="C585" s="250"/>
      <c r="D585" s="250"/>
      <c r="E585" s="250"/>
      <c r="F585" s="250"/>
      <c r="G585" s="250"/>
      <c r="H585" s="250"/>
      <c r="I585" s="250"/>
    </row>
    <row r="586">
      <c r="A586" s="250"/>
      <c r="B586" s="250"/>
      <c r="C586" s="250"/>
      <c r="D586" s="250"/>
      <c r="E586" s="250"/>
      <c r="F586" s="250"/>
      <c r="G586" s="250"/>
      <c r="H586" s="250"/>
      <c r="I586" s="250"/>
    </row>
    <row r="587">
      <c r="A587" s="250"/>
      <c r="B587" s="250"/>
      <c r="C587" s="250"/>
      <c r="D587" s="250"/>
      <c r="E587" s="250"/>
      <c r="F587" s="250"/>
      <c r="G587" s="250"/>
      <c r="H587" s="250"/>
      <c r="I587" s="250"/>
    </row>
    <row r="588">
      <c r="A588" s="250"/>
      <c r="B588" s="250"/>
      <c r="C588" s="250"/>
      <c r="D588" s="250"/>
      <c r="E588" s="250"/>
      <c r="F588" s="250"/>
      <c r="G588" s="250"/>
      <c r="H588" s="250"/>
      <c r="I588" s="250"/>
    </row>
    <row r="589">
      <c r="A589" s="250"/>
      <c r="B589" s="250"/>
      <c r="C589" s="250"/>
      <c r="D589" s="250"/>
      <c r="E589" s="250"/>
      <c r="F589" s="250"/>
      <c r="G589" s="250"/>
      <c r="H589" s="250"/>
      <c r="I589" s="250"/>
    </row>
    <row r="590">
      <c r="A590" s="250"/>
      <c r="B590" s="250"/>
      <c r="C590" s="250"/>
      <c r="D590" s="250"/>
      <c r="E590" s="250"/>
      <c r="F590" s="250"/>
      <c r="G590" s="250"/>
      <c r="H590" s="250"/>
      <c r="I590" s="250"/>
    </row>
    <row r="591">
      <c r="A591" s="250"/>
      <c r="B591" s="250"/>
      <c r="C591" s="250"/>
      <c r="D591" s="250"/>
      <c r="E591" s="250"/>
      <c r="F591" s="250"/>
      <c r="G591" s="250"/>
      <c r="H591" s="250"/>
      <c r="I591" s="250"/>
    </row>
    <row r="592">
      <c r="A592" s="250"/>
      <c r="B592" s="250"/>
      <c r="C592" s="250"/>
      <c r="D592" s="250"/>
      <c r="E592" s="250"/>
      <c r="F592" s="250"/>
      <c r="G592" s="250"/>
      <c r="H592" s="250"/>
      <c r="I592" s="250"/>
    </row>
    <row r="593">
      <c r="A593" s="250"/>
      <c r="B593" s="250"/>
      <c r="C593" s="250"/>
      <c r="D593" s="250"/>
      <c r="E593" s="250"/>
      <c r="F593" s="250"/>
      <c r="G593" s="250"/>
      <c r="H593" s="250"/>
      <c r="I593" s="250"/>
    </row>
    <row r="594">
      <c r="A594" s="250"/>
      <c r="B594" s="250"/>
      <c r="C594" s="250"/>
      <c r="D594" s="250"/>
      <c r="E594" s="250"/>
      <c r="F594" s="250"/>
      <c r="G594" s="250"/>
      <c r="H594" s="250"/>
      <c r="I594" s="250"/>
    </row>
    <row r="595">
      <c r="A595" s="250"/>
      <c r="B595" s="250"/>
      <c r="C595" s="250"/>
      <c r="D595" s="250"/>
      <c r="E595" s="250"/>
      <c r="F595" s="250"/>
      <c r="G595" s="250"/>
      <c r="H595" s="250"/>
      <c r="I595" s="250"/>
    </row>
    <row r="596">
      <c r="A596" s="250"/>
      <c r="B596" s="250"/>
      <c r="C596" s="250"/>
      <c r="D596" s="250"/>
      <c r="E596" s="250"/>
      <c r="F596" s="250"/>
      <c r="G596" s="250"/>
      <c r="H596" s="250"/>
      <c r="I596" s="250"/>
    </row>
    <row r="597">
      <c r="A597" s="250"/>
      <c r="B597" s="250"/>
      <c r="C597" s="250"/>
      <c r="D597" s="250"/>
      <c r="E597" s="250"/>
      <c r="F597" s="250"/>
      <c r="G597" s="250"/>
      <c r="H597" s="250"/>
      <c r="I597" s="250"/>
    </row>
    <row r="598">
      <c r="A598" s="250"/>
      <c r="B598" s="250"/>
      <c r="C598" s="250"/>
      <c r="D598" s="250"/>
      <c r="E598" s="250"/>
      <c r="F598" s="250"/>
      <c r="G598" s="250"/>
      <c r="H598" s="250"/>
      <c r="I598" s="250"/>
    </row>
    <row r="599">
      <c r="A599" s="250"/>
      <c r="B599" s="250"/>
      <c r="C599" s="250"/>
      <c r="D599" s="250"/>
      <c r="E599" s="250"/>
      <c r="F599" s="250"/>
      <c r="G599" s="250"/>
      <c r="H599" s="250"/>
      <c r="I599" s="250"/>
    </row>
    <row r="600">
      <c r="A600" s="250"/>
      <c r="B600" s="250"/>
      <c r="C600" s="250"/>
      <c r="D600" s="250"/>
      <c r="E600" s="250"/>
      <c r="F600" s="250"/>
      <c r="G600" s="250"/>
      <c r="H600" s="250"/>
      <c r="I600" s="250"/>
    </row>
    <row r="601">
      <c r="A601" s="250"/>
      <c r="B601" s="250"/>
      <c r="C601" s="250"/>
      <c r="D601" s="250"/>
      <c r="E601" s="250"/>
      <c r="F601" s="250"/>
      <c r="G601" s="250"/>
      <c r="H601" s="250"/>
      <c r="I601" s="250"/>
    </row>
    <row r="602">
      <c r="A602" s="250"/>
      <c r="B602" s="250"/>
      <c r="C602" s="250"/>
      <c r="D602" s="250"/>
      <c r="E602" s="250"/>
      <c r="F602" s="250"/>
      <c r="G602" s="250"/>
      <c r="H602" s="250"/>
      <c r="I602" s="250"/>
    </row>
    <row r="603">
      <c r="A603" s="250"/>
      <c r="B603" s="250"/>
      <c r="C603" s="250"/>
      <c r="D603" s="250"/>
      <c r="E603" s="250"/>
      <c r="F603" s="250"/>
      <c r="G603" s="250"/>
      <c r="H603" s="250"/>
      <c r="I603" s="250"/>
    </row>
    <row r="604">
      <c r="A604" s="250"/>
      <c r="B604" s="250"/>
      <c r="C604" s="250"/>
      <c r="D604" s="250"/>
      <c r="E604" s="250"/>
      <c r="F604" s="250"/>
      <c r="G604" s="250"/>
      <c r="H604" s="250"/>
      <c r="I604" s="250"/>
    </row>
    <row r="605">
      <c r="A605" s="250"/>
      <c r="B605" s="250"/>
      <c r="C605" s="250"/>
      <c r="D605" s="250"/>
      <c r="E605" s="250"/>
      <c r="F605" s="250"/>
      <c r="G605" s="250"/>
      <c r="H605" s="250"/>
      <c r="I605" s="250"/>
    </row>
    <row r="606">
      <c r="A606" s="250"/>
      <c r="B606" s="250"/>
      <c r="C606" s="250"/>
      <c r="D606" s="250"/>
      <c r="E606" s="250"/>
      <c r="F606" s="250"/>
      <c r="G606" s="250"/>
      <c r="H606" s="250"/>
      <c r="I606" s="250"/>
    </row>
    <row r="607">
      <c r="A607" s="250"/>
      <c r="B607" s="250"/>
      <c r="C607" s="250"/>
      <c r="D607" s="250"/>
      <c r="E607" s="250"/>
      <c r="F607" s="250"/>
      <c r="G607" s="250"/>
      <c r="H607" s="250"/>
      <c r="I607" s="250"/>
    </row>
    <row r="608">
      <c r="A608" s="250"/>
      <c r="B608" s="250"/>
      <c r="C608" s="250"/>
      <c r="D608" s="250"/>
      <c r="E608" s="250"/>
      <c r="F608" s="250"/>
      <c r="G608" s="250"/>
      <c r="H608" s="250"/>
      <c r="I608" s="250"/>
    </row>
    <row r="609">
      <c r="A609" s="250"/>
      <c r="B609" s="250"/>
      <c r="C609" s="250"/>
      <c r="D609" s="250"/>
      <c r="E609" s="250"/>
      <c r="F609" s="250"/>
      <c r="G609" s="250"/>
      <c r="H609" s="250"/>
      <c r="I609" s="250"/>
    </row>
    <row r="610">
      <c r="A610" s="250"/>
      <c r="B610" s="250"/>
      <c r="C610" s="250"/>
      <c r="D610" s="250"/>
      <c r="E610" s="250"/>
      <c r="F610" s="250"/>
      <c r="G610" s="250"/>
      <c r="H610" s="250"/>
      <c r="I610" s="250"/>
    </row>
    <row r="611">
      <c r="A611" s="250"/>
      <c r="B611" s="250"/>
      <c r="C611" s="250"/>
      <c r="D611" s="250"/>
      <c r="E611" s="250"/>
      <c r="F611" s="250"/>
      <c r="G611" s="250"/>
      <c r="H611" s="250"/>
      <c r="I611" s="250"/>
    </row>
    <row r="612">
      <c r="A612" s="250"/>
      <c r="B612" s="250"/>
      <c r="C612" s="250"/>
      <c r="D612" s="250"/>
      <c r="E612" s="250"/>
      <c r="F612" s="250"/>
      <c r="G612" s="250"/>
      <c r="H612" s="250"/>
      <c r="I612" s="250"/>
    </row>
    <row r="613">
      <c r="A613" s="250"/>
      <c r="B613" s="250"/>
      <c r="C613" s="250"/>
      <c r="D613" s="250"/>
      <c r="E613" s="250"/>
      <c r="F613" s="250"/>
      <c r="G613" s="250"/>
      <c r="H613" s="250"/>
      <c r="I613" s="250"/>
    </row>
    <row r="614">
      <c r="A614" s="250"/>
      <c r="B614" s="250"/>
      <c r="C614" s="250"/>
      <c r="D614" s="250"/>
      <c r="E614" s="250"/>
      <c r="F614" s="250"/>
      <c r="G614" s="250"/>
      <c r="H614" s="250"/>
      <c r="I614" s="250"/>
    </row>
    <row r="615">
      <c r="A615" s="250"/>
      <c r="B615" s="250"/>
      <c r="C615" s="250"/>
      <c r="D615" s="250"/>
      <c r="E615" s="250"/>
      <c r="F615" s="250"/>
      <c r="G615" s="250"/>
      <c r="H615" s="250"/>
      <c r="I615" s="250"/>
    </row>
    <row r="616">
      <c r="A616" s="250"/>
      <c r="B616" s="250"/>
      <c r="C616" s="250"/>
      <c r="D616" s="250"/>
      <c r="E616" s="250"/>
      <c r="F616" s="250"/>
      <c r="G616" s="250"/>
      <c r="H616" s="250"/>
      <c r="I616" s="250"/>
    </row>
    <row r="617">
      <c r="A617" s="250"/>
      <c r="B617" s="250"/>
      <c r="C617" s="250"/>
      <c r="D617" s="250"/>
      <c r="E617" s="250"/>
      <c r="F617" s="250"/>
      <c r="G617" s="250"/>
      <c r="H617" s="250"/>
      <c r="I617" s="250"/>
    </row>
    <row r="618">
      <c r="A618" s="250"/>
      <c r="B618" s="250"/>
      <c r="C618" s="250"/>
      <c r="D618" s="250"/>
      <c r="E618" s="250"/>
      <c r="F618" s="250"/>
      <c r="G618" s="250"/>
      <c r="H618" s="250"/>
      <c r="I618" s="250"/>
    </row>
    <row r="619">
      <c r="A619" s="250"/>
      <c r="B619" s="250"/>
      <c r="C619" s="250"/>
      <c r="D619" s="250"/>
      <c r="E619" s="250"/>
      <c r="F619" s="250"/>
      <c r="G619" s="250"/>
      <c r="H619" s="250"/>
      <c r="I619" s="250"/>
    </row>
    <row r="620">
      <c r="A620" s="250"/>
      <c r="B620" s="250"/>
      <c r="C620" s="250"/>
      <c r="D620" s="250"/>
      <c r="E620" s="250"/>
      <c r="F620" s="250"/>
      <c r="G620" s="250"/>
      <c r="H620" s="250"/>
      <c r="I620" s="250"/>
    </row>
    <row r="621">
      <c r="A621" s="250"/>
      <c r="B621" s="250"/>
      <c r="C621" s="250"/>
      <c r="D621" s="250"/>
      <c r="E621" s="250"/>
      <c r="F621" s="250"/>
      <c r="G621" s="250"/>
      <c r="H621" s="250"/>
      <c r="I621" s="250"/>
    </row>
    <row r="622">
      <c r="A622" s="250"/>
      <c r="B622" s="250"/>
      <c r="C622" s="250"/>
      <c r="D622" s="250"/>
      <c r="E622" s="250"/>
      <c r="F622" s="250"/>
      <c r="G622" s="250"/>
      <c r="H622" s="250"/>
      <c r="I622" s="250"/>
    </row>
    <row r="623">
      <c r="A623" s="250"/>
      <c r="B623" s="250"/>
      <c r="C623" s="250"/>
      <c r="D623" s="250"/>
      <c r="E623" s="250"/>
      <c r="F623" s="250"/>
      <c r="G623" s="250"/>
      <c r="H623" s="250"/>
      <c r="I623" s="250"/>
    </row>
    <row r="624">
      <c r="A624" s="250"/>
      <c r="B624" s="250"/>
      <c r="C624" s="250"/>
      <c r="D624" s="250"/>
      <c r="E624" s="250"/>
      <c r="F624" s="250"/>
      <c r="G624" s="250"/>
      <c r="H624" s="250"/>
      <c r="I624" s="250"/>
    </row>
    <row r="625">
      <c r="A625" s="250"/>
      <c r="B625" s="250"/>
      <c r="C625" s="250"/>
      <c r="D625" s="250"/>
      <c r="E625" s="250"/>
      <c r="F625" s="250"/>
      <c r="G625" s="250"/>
      <c r="H625" s="250"/>
      <c r="I625" s="250"/>
    </row>
    <row r="626">
      <c r="A626" s="250"/>
      <c r="B626" s="250"/>
      <c r="C626" s="250"/>
      <c r="D626" s="250"/>
      <c r="E626" s="250"/>
      <c r="F626" s="250"/>
      <c r="G626" s="250"/>
      <c r="H626" s="250"/>
      <c r="I626" s="250"/>
    </row>
    <row r="627">
      <c r="A627" s="250"/>
      <c r="B627" s="250"/>
      <c r="C627" s="250"/>
      <c r="D627" s="250"/>
      <c r="E627" s="250"/>
      <c r="F627" s="250"/>
      <c r="G627" s="250"/>
      <c r="H627" s="250"/>
      <c r="I627" s="250"/>
    </row>
    <row r="628">
      <c r="A628" s="250"/>
      <c r="B628" s="250"/>
      <c r="C628" s="250"/>
      <c r="D628" s="250"/>
      <c r="E628" s="250"/>
      <c r="F628" s="250"/>
      <c r="G628" s="250"/>
      <c r="H628" s="250"/>
      <c r="I628" s="250"/>
    </row>
    <row r="629">
      <c r="A629" s="250"/>
      <c r="B629" s="250"/>
      <c r="C629" s="250"/>
      <c r="D629" s="250"/>
      <c r="E629" s="250"/>
      <c r="F629" s="250"/>
      <c r="G629" s="250"/>
      <c r="H629" s="250"/>
      <c r="I629" s="250"/>
    </row>
    <row r="630">
      <c r="A630" s="250"/>
      <c r="B630" s="250"/>
      <c r="C630" s="250"/>
      <c r="D630" s="250"/>
      <c r="E630" s="250"/>
      <c r="F630" s="250"/>
      <c r="G630" s="250"/>
      <c r="H630" s="250"/>
      <c r="I630" s="250"/>
    </row>
    <row r="631">
      <c r="A631" s="250"/>
      <c r="B631" s="250"/>
      <c r="C631" s="250"/>
      <c r="D631" s="250"/>
      <c r="E631" s="250"/>
      <c r="F631" s="250"/>
      <c r="G631" s="250"/>
      <c r="H631" s="250"/>
      <c r="I631" s="250"/>
    </row>
    <row r="632">
      <c r="A632" s="250"/>
      <c r="B632" s="250"/>
      <c r="C632" s="250"/>
      <c r="D632" s="250"/>
      <c r="E632" s="250"/>
      <c r="F632" s="250"/>
      <c r="G632" s="250"/>
      <c r="H632" s="250"/>
      <c r="I632" s="250"/>
    </row>
    <row r="633">
      <c r="A633" s="250"/>
      <c r="B633" s="250"/>
      <c r="C633" s="250"/>
      <c r="D633" s="250"/>
      <c r="E633" s="250"/>
      <c r="F633" s="250"/>
      <c r="G633" s="250"/>
      <c r="H633" s="250"/>
      <c r="I633" s="250"/>
    </row>
    <row r="634">
      <c r="A634" s="250"/>
      <c r="B634" s="250"/>
      <c r="C634" s="250"/>
      <c r="D634" s="250"/>
      <c r="E634" s="250"/>
      <c r="F634" s="250"/>
      <c r="G634" s="250"/>
      <c r="H634" s="250"/>
      <c r="I634" s="250"/>
    </row>
    <row r="635">
      <c r="A635" s="250"/>
      <c r="B635" s="250"/>
      <c r="C635" s="250"/>
      <c r="D635" s="250"/>
      <c r="E635" s="250"/>
      <c r="F635" s="250"/>
      <c r="G635" s="250"/>
      <c r="H635" s="250"/>
      <c r="I635" s="250"/>
    </row>
    <row r="636">
      <c r="A636" s="250"/>
      <c r="B636" s="250"/>
      <c r="C636" s="250"/>
      <c r="D636" s="250"/>
      <c r="E636" s="250"/>
      <c r="F636" s="250"/>
      <c r="G636" s="250"/>
      <c r="H636" s="250"/>
      <c r="I636" s="250"/>
    </row>
    <row r="637">
      <c r="A637" s="250"/>
      <c r="B637" s="250"/>
      <c r="C637" s="250"/>
      <c r="D637" s="250"/>
      <c r="E637" s="250"/>
      <c r="F637" s="250"/>
      <c r="G637" s="250"/>
      <c r="H637" s="250"/>
      <c r="I637" s="250"/>
    </row>
    <row r="638">
      <c r="A638" s="250"/>
      <c r="B638" s="250"/>
      <c r="C638" s="250"/>
      <c r="D638" s="250"/>
      <c r="E638" s="250"/>
      <c r="F638" s="250"/>
      <c r="G638" s="250"/>
      <c r="H638" s="250"/>
      <c r="I638" s="250"/>
    </row>
    <row r="639">
      <c r="A639" s="250"/>
      <c r="B639" s="250"/>
      <c r="C639" s="250"/>
      <c r="D639" s="250"/>
      <c r="E639" s="250"/>
      <c r="F639" s="250"/>
      <c r="G639" s="250"/>
      <c r="H639" s="250"/>
      <c r="I639" s="250"/>
    </row>
    <row r="640">
      <c r="A640" s="250"/>
      <c r="B640" s="250"/>
      <c r="C640" s="250"/>
      <c r="D640" s="250"/>
      <c r="E640" s="250"/>
      <c r="F640" s="250"/>
      <c r="G640" s="250"/>
      <c r="H640" s="250"/>
      <c r="I640" s="250"/>
    </row>
    <row r="641">
      <c r="A641" s="250"/>
      <c r="B641" s="250"/>
      <c r="C641" s="250"/>
      <c r="D641" s="250"/>
      <c r="E641" s="250"/>
      <c r="F641" s="250"/>
      <c r="G641" s="250"/>
      <c r="H641" s="250"/>
      <c r="I641" s="250"/>
    </row>
    <row r="642">
      <c r="A642" s="250"/>
      <c r="B642" s="250"/>
      <c r="C642" s="250"/>
      <c r="D642" s="250"/>
      <c r="E642" s="250"/>
      <c r="F642" s="250"/>
      <c r="G642" s="250"/>
      <c r="H642" s="250"/>
      <c r="I642" s="250"/>
    </row>
    <row r="643">
      <c r="A643" s="250"/>
      <c r="B643" s="250"/>
      <c r="C643" s="250"/>
      <c r="D643" s="250"/>
      <c r="E643" s="250"/>
      <c r="F643" s="250"/>
      <c r="G643" s="250"/>
      <c r="H643" s="250"/>
      <c r="I643" s="250"/>
    </row>
    <row r="644">
      <c r="A644" s="250"/>
      <c r="B644" s="250"/>
      <c r="C644" s="250"/>
      <c r="D644" s="250"/>
      <c r="E644" s="250"/>
      <c r="F644" s="250"/>
      <c r="G644" s="250"/>
      <c r="H644" s="250"/>
      <c r="I644" s="250"/>
    </row>
    <row r="645">
      <c r="A645" s="250"/>
      <c r="B645" s="250"/>
      <c r="C645" s="250"/>
      <c r="D645" s="250"/>
      <c r="E645" s="250"/>
      <c r="F645" s="250"/>
      <c r="G645" s="250"/>
      <c r="H645" s="250"/>
      <c r="I645" s="250"/>
    </row>
    <row r="646">
      <c r="A646" s="250"/>
      <c r="B646" s="250"/>
      <c r="C646" s="250"/>
      <c r="D646" s="250"/>
      <c r="E646" s="250"/>
      <c r="F646" s="250"/>
      <c r="G646" s="250"/>
      <c r="H646" s="250"/>
      <c r="I646" s="250"/>
    </row>
    <row r="647">
      <c r="A647" s="250"/>
      <c r="B647" s="250"/>
      <c r="C647" s="250"/>
      <c r="D647" s="250"/>
      <c r="E647" s="250"/>
      <c r="F647" s="250"/>
      <c r="G647" s="250"/>
      <c r="H647" s="250"/>
      <c r="I647" s="250"/>
    </row>
    <row r="648">
      <c r="A648" s="250"/>
      <c r="B648" s="250"/>
      <c r="C648" s="250"/>
      <c r="D648" s="250"/>
      <c r="E648" s="250"/>
      <c r="F648" s="250"/>
      <c r="G648" s="250"/>
      <c r="H648" s="250"/>
      <c r="I648" s="250"/>
    </row>
    <row r="649">
      <c r="A649" s="250"/>
      <c r="B649" s="250"/>
      <c r="C649" s="250"/>
      <c r="D649" s="250"/>
      <c r="E649" s="250"/>
      <c r="F649" s="250"/>
      <c r="G649" s="250"/>
      <c r="H649" s="250"/>
      <c r="I649" s="250"/>
    </row>
    <row r="650">
      <c r="A650" s="250"/>
      <c r="B650" s="250"/>
      <c r="C650" s="250"/>
      <c r="D650" s="250"/>
      <c r="E650" s="250"/>
      <c r="F650" s="250"/>
      <c r="G650" s="250"/>
      <c r="H650" s="250"/>
      <c r="I650" s="250"/>
    </row>
    <row r="651">
      <c r="A651" s="250"/>
      <c r="B651" s="250"/>
      <c r="C651" s="250"/>
      <c r="D651" s="250"/>
      <c r="E651" s="250"/>
      <c r="F651" s="250"/>
      <c r="G651" s="250"/>
      <c r="H651" s="250"/>
      <c r="I651" s="250"/>
    </row>
    <row r="652">
      <c r="A652" s="250"/>
      <c r="B652" s="250"/>
      <c r="C652" s="250"/>
      <c r="D652" s="250"/>
      <c r="E652" s="250"/>
      <c r="F652" s="250"/>
      <c r="G652" s="250"/>
      <c r="H652" s="250"/>
      <c r="I652" s="250"/>
    </row>
    <row r="653">
      <c r="A653" s="250"/>
      <c r="B653" s="250"/>
      <c r="C653" s="250"/>
      <c r="D653" s="250"/>
      <c r="E653" s="250"/>
      <c r="F653" s="250"/>
      <c r="G653" s="250"/>
      <c r="H653" s="250"/>
      <c r="I653" s="250"/>
    </row>
    <row r="654">
      <c r="A654" s="250"/>
      <c r="B654" s="250"/>
      <c r="C654" s="250"/>
      <c r="D654" s="250"/>
      <c r="E654" s="250"/>
      <c r="F654" s="250"/>
      <c r="G654" s="250"/>
      <c r="H654" s="250"/>
      <c r="I654" s="250"/>
    </row>
    <row r="655">
      <c r="A655" s="250"/>
      <c r="B655" s="250"/>
      <c r="C655" s="250"/>
      <c r="D655" s="250"/>
      <c r="E655" s="250"/>
      <c r="F655" s="250"/>
      <c r="G655" s="250"/>
      <c r="H655" s="250"/>
      <c r="I655" s="250"/>
    </row>
    <row r="656">
      <c r="A656" s="250"/>
      <c r="B656" s="250"/>
      <c r="C656" s="250"/>
      <c r="D656" s="250"/>
      <c r="E656" s="250"/>
      <c r="F656" s="250"/>
      <c r="G656" s="250"/>
      <c r="H656" s="250"/>
      <c r="I656" s="250"/>
    </row>
    <row r="657">
      <c r="A657" s="250"/>
      <c r="B657" s="250"/>
      <c r="C657" s="250"/>
      <c r="D657" s="250"/>
      <c r="E657" s="250"/>
      <c r="F657" s="250"/>
      <c r="G657" s="250"/>
      <c r="H657" s="250"/>
      <c r="I657" s="250"/>
    </row>
    <row r="658">
      <c r="A658" s="250"/>
      <c r="B658" s="250"/>
      <c r="C658" s="250"/>
      <c r="D658" s="250"/>
      <c r="E658" s="250"/>
      <c r="F658" s="250"/>
      <c r="G658" s="250"/>
      <c r="H658" s="250"/>
      <c r="I658" s="250"/>
    </row>
    <row r="659">
      <c r="A659" s="250"/>
      <c r="B659" s="250"/>
      <c r="C659" s="250"/>
      <c r="D659" s="250"/>
      <c r="E659" s="250"/>
      <c r="F659" s="250"/>
      <c r="G659" s="250"/>
      <c r="H659" s="250"/>
      <c r="I659" s="250"/>
    </row>
    <row r="660">
      <c r="A660" s="250"/>
      <c r="B660" s="250"/>
      <c r="C660" s="250"/>
      <c r="D660" s="250"/>
      <c r="E660" s="250"/>
      <c r="F660" s="250"/>
      <c r="G660" s="250"/>
      <c r="H660" s="250"/>
      <c r="I660" s="250"/>
    </row>
    <row r="661">
      <c r="A661" s="250"/>
      <c r="B661" s="250"/>
      <c r="C661" s="250"/>
      <c r="D661" s="250"/>
      <c r="E661" s="250"/>
      <c r="F661" s="250"/>
      <c r="G661" s="250"/>
      <c r="H661" s="250"/>
      <c r="I661" s="250"/>
    </row>
    <row r="662">
      <c r="A662" s="250"/>
      <c r="B662" s="250"/>
      <c r="C662" s="250"/>
      <c r="D662" s="250"/>
      <c r="E662" s="250"/>
      <c r="F662" s="250"/>
      <c r="G662" s="250"/>
      <c r="H662" s="250"/>
      <c r="I662" s="250"/>
    </row>
    <row r="663">
      <c r="A663" s="250"/>
      <c r="B663" s="250"/>
      <c r="C663" s="250"/>
      <c r="D663" s="250"/>
      <c r="E663" s="250"/>
      <c r="F663" s="250"/>
      <c r="G663" s="250"/>
      <c r="H663" s="250"/>
      <c r="I663" s="250"/>
    </row>
    <row r="664">
      <c r="A664" s="250"/>
      <c r="B664" s="250"/>
      <c r="C664" s="250"/>
      <c r="D664" s="250"/>
      <c r="E664" s="250"/>
      <c r="F664" s="250"/>
      <c r="G664" s="250"/>
      <c r="H664" s="250"/>
      <c r="I664" s="250"/>
    </row>
    <row r="665">
      <c r="A665" s="250"/>
      <c r="B665" s="250"/>
      <c r="C665" s="250"/>
      <c r="D665" s="250"/>
      <c r="E665" s="250"/>
      <c r="F665" s="250"/>
      <c r="G665" s="250"/>
      <c r="H665" s="250"/>
      <c r="I665" s="250"/>
    </row>
    <row r="666">
      <c r="A666" s="250"/>
      <c r="B666" s="250"/>
      <c r="C666" s="250"/>
      <c r="D666" s="250"/>
      <c r="E666" s="250"/>
      <c r="F666" s="250"/>
      <c r="G666" s="250"/>
      <c r="H666" s="250"/>
      <c r="I666" s="250"/>
    </row>
    <row r="667">
      <c r="A667" s="250"/>
      <c r="B667" s="250"/>
      <c r="C667" s="250"/>
      <c r="D667" s="250"/>
      <c r="E667" s="250"/>
      <c r="F667" s="250"/>
      <c r="G667" s="250"/>
      <c r="H667" s="250"/>
      <c r="I667" s="250"/>
    </row>
    <row r="668">
      <c r="A668" s="250"/>
      <c r="B668" s="250"/>
      <c r="C668" s="250"/>
      <c r="D668" s="250"/>
      <c r="E668" s="250"/>
      <c r="F668" s="250"/>
      <c r="G668" s="250"/>
      <c r="H668" s="250"/>
      <c r="I668" s="250"/>
    </row>
    <row r="669">
      <c r="A669" s="250"/>
      <c r="B669" s="250"/>
      <c r="C669" s="250"/>
      <c r="D669" s="250"/>
      <c r="E669" s="250"/>
      <c r="F669" s="250"/>
      <c r="G669" s="250"/>
      <c r="H669" s="250"/>
      <c r="I669" s="250"/>
    </row>
    <row r="670">
      <c r="A670" s="250"/>
      <c r="B670" s="250"/>
      <c r="C670" s="250"/>
      <c r="D670" s="250"/>
      <c r="E670" s="250"/>
      <c r="F670" s="250"/>
      <c r="G670" s="250"/>
      <c r="H670" s="250"/>
      <c r="I670" s="250"/>
    </row>
    <row r="671">
      <c r="A671" s="250"/>
      <c r="B671" s="250"/>
      <c r="C671" s="250"/>
      <c r="D671" s="250"/>
      <c r="E671" s="250"/>
      <c r="F671" s="250"/>
      <c r="G671" s="250"/>
      <c r="H671" s="250"/>
      <c r="I671" s="250"/>
    </row>
    <row r="672">
      <c r="A672" s="250"/>
      <c r="B672" s="250"/>
      <c r="C672" s="250"/>
      <c r="D672" s="250"/>
      <c r="E672" s="250"/>
      <c r="F672" s="250"/>
      <c r="G672" s="250"/>
      <c r="H672" s="250"/>
      <c r="I672" s="250"/>
    </row>
    <row r="673">
      <c r="A673" s="250"/>
      <c r="B673" s="250"/>
      <c r="C673" s="250"/>
      <c r="D673" s="250"/>
      <c r="E673" s="250"/>
      <c r="F673" s="250"/>
      <c r="G673" s="250"/>
      <c r="H673" s="250"/>
      <c r="I673" s="250"/>
    </row>
    <row r="674">
      <c r="A674" s="250"/>
      <c r="B674" s="250"/>
      <c r="C674" s="250"/>
      <c r="D674" s="250"/>
      <c r="E674" s="250"/>
      <c r="F674" s="250"/>
      <c r="G674" s="250"/>
      <c r="H674" s="250"/>
      <c r="I674" s="250"/>
    </row>
    <row r="675">
      <c r="A675" s="250"/>
      <c r="B675" s="250"/>
      <c r="C675" s="250"/>
      <c r="D675" s="250"/>
      <c r="E675" s="250"/>
      <c r="F675" s="250"/>
      <c r="G675" s="250"/>
      <c r="H675" s="250"/>
      <c r="I675" s="250"/>
    </row>
    <row r="676">
      <c r="A676" s="250"/>
      <c r="B676" s="250"/>
      <c r="C676" s="250"/>
      <c r="D676" s="250"/>
      <c r="E676" s="250"/>
      <c r="F676" s="250"/>
      <c r="G676" s="250"/>
      <c r="H676" s="250"/>
      <c r="I676" s="250"/>
    </row>
    <row r="677">
      <c r="A677" s="250"/>
      <c r="B677" s="250"/>
      <c r="C677" s="250"/>
      <c r="D677" s="250"/>
      <c r="E677" s="250"/>
      <c r="F677" s="250"/>
      <c r="G677" s="250"/>
      <c r="H677" s="250"/>
      <c r="I677" s="250"/>
    </row>
    <row r="678">
      <c r="A678" s="250"/>
      <c r="B678" s="250"/>
      <c r="C678" s="250"/>
      <c r="D678" s="250"/>
      <c r="E678" s="250"/>
      <c r="F678" s="250"/>
      <c r="G678" s="250"/>
      <c r="H678" s="250"/>
      <c r="I678" s="250"/>
    </row>
    <row r="679">
      <c r="A679" s="250"/>
      <c r="B679" s="250"/>
      <c r="C679" s="250"/>
      <c r="D679" s="250"/>
      <c r="E679" s="250"/>
      <c r="F679" s="250"/>
      <c r="G679" s="250"/>
      <c r="H679" s="250"/>
      <c r="I679" s="250"/>
    </row>
    <row r="680">
      <c r="A680" s="250"/>
      <c r="B680" s="250"/>
      <c r="C680" s="250"/>
      <c r="D680" s="250"/>
      <c r="E680" s="250"/>
      <c r="F680" s="250"/>
      <c r="G680" s="250"/>
      <c r="H680" s="250"/>
      <c r="I680" s="250"/>
    </row>
    <row r="681">
      <c r="A681" s="250"/>
      <c r="B681" s="250"/>
      <c r="C681" s="250"/>
      <c r="D681" s="250"/>
      <c r="E681" s="250"/>
      <c r="F681" s="250"/>
      <c r="G681" s="250"/>
      <c r="H681" s="250"/>
      <c r="I681" s="250"/>
    </row>
    <row r="682">
      <c r="A682" s="250"/>
      <c r="B682" s="250"/>
      <c r="C682" s="250"/>
      <c r="D682" s="250"/>
      <c r="E682" s="250"/>
      <c r="F682" s="250"/>
      <c r="G682" s="250"/>
      <c r="H682" s="250"/>
      <c r="I682" s="250"/>
    </row>
    <row r="683">
      <c r="A683" s="250"/>
      <c r="B683" s="250"/>
      <c r="C683" s="250"/>
      <c r="D683" s="250"/>
      <c r="E683" s="250"/>
      <c r="F683" s="250"/>
      <c r="G683" s="250"/>
      <c r="H683" s="250"/>
      <c r="I683" s="250"/>
    </row>
    <row r="684">
      <c r="A684" s="250"/>
      <c r="B684" s="250"/>
      <c r="C684" s="250"/>
      <c r="D684" s="250"/>
      <c r="E684" s="250"/>
      <c r="F684" s="250"/>
      <c r="G684" s="250"/>
      <c r="H684" s="250"/>
      <c r="I684" s="250"/>
    </row>
    <row r="685">
      <c r="A685" s="250"/>
      <c r="B685" s="250"/>
      <c r="C685" s="250"/>
      <c r="D685" s="250"/>
      <c r="E685" s="250"/>
      <c r="F685" s="250"/>
      <c r="G685" s="250"/>
      <c r="H685" s="250"/>
      <c r="I685" s="250"/>
    </row>
    <row r="686">
      <c r="A686" s="250"/>
      <c r="B686" s="250"/>
      <c r="C686" s="250"/>
      <c r="D686" s="250"/>
      <c r="E686" s="250"/>
      <c r="F686" s="250"/>
      <c r="G686" s="250"/>
      <c r="H686" s="250"/>
      <c r="I686" s="250"/>
    </row>
    <row r="687">
      <c r="A687" s="250"/>
      <c r="B687" s="250"/>
      <c r="C687" s="250"/>
      <c r="D687" s="250"/>
      <c r="E687" s="250"/>
      <c r="F687" s="250"/>
      <c r="G687" s="250"/>
      <c r="H687" s="250"/>
      <c r="I687" s="250"/>
    </row>
    <row r="688">
      <c r="A688" s="250"/>
      <c r="B688" s="250"/>
      <c r="C688" s="250"/>
      <c r="D688" s="250"/>
      <c r="E688" s="250"/>
      <c r="F688" s="250"/>
      <c r="G688" s="250"/>
      <c r="H688" s="250"/>
      <c r="I688" s="250"/>
    </row>
    <row r="689">
      <c r="A689" s="250"/>
      <c r="B689" s="250"/>
      <c r="C689" s="250"/>
      <c r="D689" s="250"/>
      <c r="E689" s="250"/>
      <c r="F689" s="250"/>
      <c r="G689" s="250"/>
      <c r="H689" s="250"/>
      <c r="I689" s="250"/>
    </row>
    <row r="690">
      <c r="A690" s="250"/>
      <c r="B690" s="250"/>
      <c r="C690" s="250"/>
      <c r="D690" s="250"/>
      <c r="E690" s="250"/>
      <c r="F690" s="250"/>
      <c r="G690" s="250"/>
      <c r="H690" s="250"/>
      <c r="I690" s="250"/>
    </row>
    <row r="691">
      <c r="A691" s="250"/>
      <c r="B691" s="250"/>
      <c r="C691" s="250"/>
      <c r="D691" s="250"/>
      <c r="E691" s="250"/>
      <c r="F691" s="250"/>
      <c r="G691" s="250"/>
      <c r="H691" s="250"/>
      <c r="I691" s="250"/>
    </row>
    <row r="692">
      <c r="A692" s="250"/>
      <c r="B692" s="250"/>
      <c r="C692" s="250"/>
      <c r="D692" s="250"/>
      <c r="E692" s="250"/>
      <c r="F692" s="250"/>
      <c r="G692" s="250"/>
      <c r="H692" s="250"/>
      <c r="I692" s="250"/>
    </row>
    <row r="693">
      <c r="A693" s="250"/>
      <c r="B693" s="250"/>
      <c r="C693" s="250"/>
      <c r="D693" s="250"/>
      <c r="E693" s="250"/>
      <c r="F693" s="250"/>
      <c r="G693" s="250"/>
      <c r="H693" s="250"/>
      <c r="I693" s="250"/>
    </row>
    <row r="694">
      <c r="A694" s="250"/>
      <c r="B694" s="250"/>
      <c r="C694" s="250"/>
      <c r="D694" s="250"/>
      <c r="E694" s="250"/>
      <c r="F694" s="250"/>
      <c r="G694" s="250"/>
      <c r="H694" s="250"/>
      <c r="I694" s="250"/>
    </row>
    <row r="695">
      <c r="A695" s="250"/>
      <c r="B695" s="250"/>
      <c r="C695" s="250"/>
      <c r="D695" s="250"/>
      <c r="E695" s="250"/>
      <c r="F695" s="250"/>
      <c r="G695" s="250"/>
      <c r="H695" s="250"/>
      <c r="I695" s="250"/>
    </row>
    <row r="696">
      <c r="A696" s="250"/>
      <c r="B696" s="250"/>
      <c r="C696" s="250"/>
      <c r="D696" s="250"/>
      <c r="E696" s="250"/>
      <c r="F696" s="250"/>
      <c r="G696" s="250"/>
      <c r="H696" s="250"/>
      <c r="I696" s="250"/>
    </row>
    <row r="697">
      <c r="A697" s="250"/>
      <c r="B697" s="250"/>
      <c r="C697" s="250"/>
      <c r="D697" s="250"/>
      <c r="E697" s="250"/>
      <c r="F697" s="250"/>
      <c r="G697" s="250"/>
      <c r="H697" s="250"/>
      <c r="I697" s="250"/>
    </row>
    <row r="698">
      <c r="A698" s="250"/>
      <c r="B698" s="250"/>
      <c r="C698" s="250"/>
      <c r="D698" s="250"/>
      <c r="E698" s="250"/>
      <c r="F698" s="250"/>
      <c r="G698" s="250"/>
      <c r="H698" s="250"/>
      <c r="I698" s="250"/>
    </row>
    <row r="699">
      <c r="A699" s="250"/>
      <c r="B699" s="250"/>
      <c r="C699" s="250"/>
      <c r="D699" s="250"/>
      <c r="E699" s="250"/>
      <c r="F699" s="250"/>
      <c r="G699" s="250"/>
      <c r="H699" s="250"/>
      <c r="I699" s="250"/>
    </row>
    <row r="700">
      <c r="A700" s="250"/>
      <c r="B700" s="250"/>
      <c r="C700" s="250"/>
      <c r="D700" s="250"/>
      <c r="E700" s="250"/>
      <c r="F700" s="250"/>
      <c r="G700" s="250"/>
      <c r="H700" s="250"/>
      <c r="I700" s="250"/>
    </row>
    <row r="701">
      <c r="A701" s="250"/>
      <c r="B701" s="250"/>
      <c r="C701" s="250"/>
      <c r="D701" s="250"/>
      <c r="E701" s="250"/>
      <c r="F701" s="250"/>
      <c r="G701" s="250"/>
      <c r="H701" s="250"/>
      <c r="I701" s="250"/>
    </row>
    <row r="702">
      <c r="A702" s="250"/>
      <c r="B702" s="250"/>
      <c r="C702" s="250"/>
      <c r="D702" s="250"/>
      <c r="E702" s="250"/>
      <c r="F702" s="250"/>
      <c r="G702" s="250"/>
      <c r="H702" s="250"/>
      <c r="I702" s="250"/>
    </row>
    <row r="703">
      <c r="A703" s="250"/>
      <c r="B703" s="250"/>
      <c r="C703" s="250"/>
      <c r="D703" s="250"/>
      <c r="E703" s="250"/>
      <c r="F703" s="250"/>
      <c r="G703" s="250"/>
      <c r="H703" s="250"/>
      <c r="I703" s="250"/>
    </row>
    <row r="704">
      <c r="A704" s="250"/>
      <c r="B704" s="250"/>
      <c r="C704" s="250"/>
      <c r="D704" s="250"/>
      <c r="E704" s="250"/>
      <c r="F704" s="250"/>
      <c r="G704" s="250"/>
      <c r="H704" s="250"/>
      <c r="I704" s="250"/>
    </row>
    <row r="705">
      <c r="A705" s="250"/>
      <c r="B705" s="250"/>
      <c r="C705" s="250"/>
      <c r="D705" s="250"/>
      <c r="E705" s="250"/>
      <c r="F705" s="250"/>
      <c r="G705" s="250"/>
      <c r="H705" s="250"/>
      <c r="I705" s="250"/>
    </row>
    <row r="706">
      <c r="A706" s="250"/>
      <c r="B706" s="250"/>
      <c r="C706" s="250"/>
      <c r="D706" s="250"/>
      <c r="E706" s="250"/>
      <c r="F706" s="250"/>
      <c r="G706" s="250"/>
      <c r="H706" s="250"/>
      <c r="I706" s="250"/>
    </row>
    <row r="707">
      <c r="A707" s="250"/>
      <c r="B707" s="250"/>
      <c r="C707" s="250"/>
      <c r="D707" s="250"/>
      <c r="E707" s="250"/>
      <c r="F707" s="250"/>
      <c r="G707" s="250"/>
      <c r="H707" s="250"/>
      <c r="I707" s="250"/>
    </row>
    <row r="708">
      <c r="A708" s="250"/>
      <c r="B708" s="250"/>
      <c r="C708" s="250"/>
      <c r="D708" s="250"/>
      <c r="E708" s="250"/>
      <c r="F708" s="250"/>
      <c r="G708" s="250"/>
      <c r="H708" s="250"/>
      <c r="I708" s="250"/>
    </row>
    <row r="709">
      <c r="A709" s="250"/>
      <c r="B709" s="250"/>
      <c r="C709" s="250"/>
      <c r="D709" s="250"/>
      <c r="E709" s="250"/>
      <c r="F709" s="250"/>
      <c r="G709" s="250"/>
      <c r="H709" s="250"/>
      <c r="I709" s="250"/>
    </row>
    <row r="710">
      <c r="A710" s="250"/>
      <c r="B710" s="250"/>
      <c r="C710" s="250"/>
      <c r="D710" s="250"/>
      <c r="E710" s="250"/>
      <c r="F710" s="250"/>
      <c r="G710" s="250"/>
      <c r="H710" s="250"/>
      <c r="I710" s="250"/>
    </row>
    <row r="711">
      <c r="A711" s="250"/>
      <c r="B711" s="250"/>
      <c r="C711" s="250"/>
      <c r="D711" s="250"/>
      <c r="E711" s="250"/>
      <c r="F711" s="250"/>
      <c r="G711" s="250"/>
      <c r="H711" s="250"/>
      <c r="I711" s="250"/>
    </row>
    <row r="712">
      <c r="A712" s="250"/>
      <c r="B712" s="250"/>
      <c r="C712" s="250"/>
      <c r="D712" s="250"/>
      <c r="E712" s="250"/>
      <c r="F712" s="250"/>
      <c r="G712" s="250"/>
      <c r="H712" s="250"/>
      <c r="I712" s="250"/>
    </row>
    <row r="713">
      <c r="A713" s="250"/>
      <c r="B713" s="250"/>
      <c r="C713" s="250"/>
      <c r="D713" s="250"/>
      <c r="E713" s="250"/>
      <c r="F713" s="250"/>
      <c r="G713" s="250"/>
      <c r="H713" s="250"/>
      <c r="I713" s="250"/>
    </row>
    <row r="714">
      <c r="A714" s="250"/>
      <c r="B714" s="250"/>
      <c r="C714" s="250"/>
      <c r="D714" s="250"/>
      <c r="E714" s="250"/>
      <c r="F714" s="250"/>
      <c r="G714" s="250"/>
      <c r="H714" s="250"/>
      <c r="I714" s="250"/>
    </row>
    <row r="715">
      <c r="A715" s="250"/>
      <c r="B715" s="250"/>
      <c r="C715" s="250"/>
      <c r="D715" s="250"/>
      <c r="E715" s="250"/>
      <c r="F715" s="250"/>
      <c r="G715" s="250"/>
      <c r="H715" s="250"/>
      <c r="I715" s="250"/>
    </row>
    <row r="716">
      <c r="A716" s="250"/>
      <c r="B716" s="250"/>
      <c r="C716" s="250"/>
      <c r="D716" s="250"/>
      <c r="E716" s="250"/>
      <c r="F716" s="250"/>
      <c r="G716" s="250"/>
      <c r="H716" s="250"/>
      <c r="I716" s="250"/>
    </row>
    <row r="717">
      <c r="A717" s="250"/>
      <c r="B717" s="250"/>
      <c r="C717" s="250"/>
      <c r="D717" s="250"/>
      <c r="E717" s="250"/>
      <c r="F717" s="250"/>
      <c r="G717" s="250"/>
      <c r="H717" s="250"/>
      <c r="I717" s="250"/>
    </row>
    <row r="718">
      <c r="A718" s="250"/>
      <c r="B718" s="250"/>
      <c r="C718" s="250"/>
      <c r="D718" s="250"/>
      <c r="E718" s="250"/>
      <c r="F718" s="250"/>
      <c r="G718" s="250"/>
      <c r="H718" s="250"/>
      <c r="I718" s="250"/>
    </row>
    <row r="719">
      <c r="A719" s="250"/>
      <c r="B719" s="250"/>
      <c r="C719" s="250"/>
      <c r="D719" s="250"/>
      <c r="E719" s="250"/>
      <c r="F719" s="250"/>
      <c r="G719" s="250"/>
      <c r="H719" s="250"/>
      <c r="I719" s="250"/>
    </row>
    <row r="720">
      <c r="A720" s="250"/>
      <c r="B720" s="250"/>
      <c r="C720" s="250"/>
      <c r="D720" s="250"/>
      <c r="E720" s="250"/>
      <c r="F720" s="250"/>
      <c r="G720" s="250"/>
      <c r="H720" s="250"/>
      <c r="I720" s="250"/>
    </row>
  </sheetData>
  <mergeCells count="90">
    <mergeCell ref="A15:B15"/>
    <mergeCell ref="A19:B19"/>
    <mergeCell ref="A20:B20"/>
    <mergeCell ref="A21:B21"/>
    <mergeCell ref="A22:B22"/>
    <mergeCell ref="A23:B23"/>
    <mergeCell ref="A25:B25"/>
    <mergeCell ref="A34:B34"/>
    <mergeCell ref="A35:B35"/>
    <mergeCell ref="A39:B39"/>
    <mergeCell ref="A40:B40"/>
    <mergeCell ref="A41:B41"/>
    <mergeCell ref="A42:B42"/>
    <mergeCell ref="A43:B43"/>
    <mergeCell ref="A26:B26"/>
    <mergeCell ref="A27:B27"/>
    <mergeCell ref="A28:B28"/>
    <mergeCell ref="A29:B29"/>
    <mergeCell ref="A31:B31"/>
    <mergeCell ref="A32:B32"/>
    <mergeCell ref="A33:B33"/>
    <mergeCell ref="E22:F22"/>
    <mergeCell ref="H22:I22"/>
    <mergeCell ref="E23:F23"/>
    <mergeCell ref="H23:I23"/>
    <mergeCell ref="E25:F25"/>
    <mergeCell ref="H25:I25"/>
    <mergeCell ref="H26:I26"/>
    <mergeCell ref="H31:I31"/>
    <mergeCell ref="H32:I32"/>
    <mergeCell ref="E26:F26"/>
    <mergeCell ref="E27:F27"/>
    <mergeCell ref="E28:F28"/>
    <mergeCell ref="E29:F29"/>
    <mergeCell ref="H29:I29"/>
    <mergeCell ref="E31:F31"/>
    <mergeCell ref="E32:F32"/>
    <mergeCell ref="E33:F33"/>
    <mergeCell ref="H33:I33"/>
    <mergeCell ref="E34:F34"/>
    <mergeCell ref="H34:I34"/>
    <mergeCell ref="E35:F35"/>
    <mergeCell ref="H35:I35"/>
    <mergeCell ref="A38:I38"/>
    <mergeCell ref="E42:F42"/>
    <mergeCell ref="E43:F43"/>
    <mergeCell ref="E39:F39"/>
    <mergeCell ref="H39:I39"/>
    <mergeCell ref="E40:F40"/>
    <mergeCell ref="H40:I40"/>
    <mergeCell ref="E41:F41"/>
    <mergeCell ref="H41:I41"/>
    <mergeCell ref="H42:I42"/>
    <mergeCell ref="H43:I43"/>
    <mergeCell ref="H5:I5"/>
    <mergeCell ref="H6:I6"/>
    <mergeCell ref="H8:I8"/>
    <mergeCell ref="H9:I9"/>
    <mergeCell ref="A1:I1"/>
    <mergeCell ref="A2:I2"/>
    <mergeCell ref="A4:I4"/>
    <mergeCell ref="A5:B5"/>
    <mergeCell ref="E5:F5"/>
    <mergeCell ref="A6:B6"/>
    <mergeCell ref="H7:I7"/>
    <mergeCell ref="E6:F6"/>
    <mergeCell ref="E7:F7"/>
    <mergeCell ref="E8:F8"/>
    <mergeCell ref="E9:F9"/>
    <mergeCell ref="E11:F11"/>
    <mergeCell ref="E12:F12"/>
    <mergeCell ref="E13:F13"/>
    <mergeCell ref="A7:B7"/>
    <mergeCell ref="A8:B8"/>
    <mergeCell ref="A9:B9"/>
    <mergeCell ref="A11:B11"/>
    <mergeCell ref="A12:B12"/>
    <mergeCell ref="A13:B13"/>
    <mergeCell ref="A14:B14"/>
    <mergeCell ref="H20:I20"/>
    <mergeCell ref="H21:I21"/>
    <mergeCell ref="E14:F14"/>
    <mergeCell ref="E15:F15"/>
    <mergeCell ref="A18:I18"/>
    <mergeCell ref="E19:F19"/>
    <mergeCell ref="H19:I19"/>
    <mergeCell ref="E20:F20"/>
    <mergeCell ref="E21:F21"/>
    <mergeCell ref="H27:I27"/>
    <mergeCell ref="H28:I28"/>
  </mergeCells>
  <drawing r:id="rId1"/>
</worksheet>
</file>